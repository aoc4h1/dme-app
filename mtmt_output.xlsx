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defaultThemeVersion="166925"/>
  <mc:AlternateContent xmlns:mc="http://schemas.openxmlformats.org/markup-compatibility/2006">
    <mc:Choice Requires="x15">
      <x15ac:absPath xmlns:x15ac="http://schemas.microsoft.com/office/spreadsheetml/2010/11/ac" url="/Users/pmogyorosi/Documents/istat/Projektek-istat/2025.05. MTMT/dme_app/"/>
    </mc:Choice>
  </mc:AlternateContent>
  <xr:revisionPtr revIDLastSave="0" documentId="13_ncr:1_{A5AC8216-92CC-2141-B4B8-61B9844F144B}" xr6:coauthVersionLast="47" xr6:coauthVersionMax="47" xr10:uidLastSave="{00000000-0000-0000-0000-000000000000}"/>
  <bookViews>
    <workbookView xWindow="0" yWindow="500" windowWidth="28800" windowHeight="16260" xr2:uid="{291C60A5-FE06-6243-8F3B-380AEF1ADB83}"/>
  </bookViews>
  <sheets>
    <sheet name="INFO" sheetId="3" r:id="rId1"/>
    <sheet name="OSSZEGZES" sheetId="5" r:id="rId2"/>
    <sheet name="1_szakkonyv_monog" sheetId="1" r:id="rId3"/>
    <sheet name="2_folyoirat" sheetId="2" r:id="rId4"/>
    <sheet name="3_tovabbi" sheetId="4" r:id="rId5"/>
    <sheet name="4_hivatkozasok"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C28" i="5" l="1" a="1"/>
  <c r="C28" i="5" s="1"/>
  <c r="C45" i="5"/>
  <c r="C44" i="5"/>
  <c r="C43" i="5"/>
  <c r="C39" i="5"/>
  <c r="C38" i="5"/>
  <c r="C37" i="5"/>
  <c r="C36" i="5"/>
  <c r="C35" i="5"/>
  <c r="C34" i="5"/>
  <c r="C40" i="5" l="1"/>
  <c r="C42" i="5"/>
  <c r="C31" i="5"/>
  <c r="C32" i="5"/>
  <c r="C41" i="5"/>
  <c r="C33" i="5"/>
  <c r="C21" i="6" l="1"/>
  <c r="C20" i="6"/>
  <c r="C19" i="6"/>
  <c r="C15" i="6"/>
  <c r="C14" i="6"/>
  <c r="C13" i="6"/>
  <c r="C12" i="6"/>
  <c r="C11" i="6"/>
  <c r="C10" i="6"/>
  <c r="C49" i="5" a="1"/>
  <c r="C49" i="5" s="1"/>
  <c r="C48" i="5"/>
  <c r="C6" i="5"/>
  <c r="C18" i="4" a="1"/>
  <c r="C18" i="4" s="1"/>
  <c r="C17" i="4" a="1"/>
  <c r="C17" i="4" s="1"/>
  <c r="C27" i="5" a="1"/>
  <c r="C27" i="5" s="1"/>
  <c r="C14" i="5"/>
  <c r="C13" i="5"/>
  <c r="C16" i="2"/>
  <c r="C12" i="5"/>
  <c r="C15" i="2"/>
  <c r="C26" i="5"/>
  <c r="C25" i="5"/>
  <c r="C24" i="5"/>
  <c r="C23" i="5"/>
  <c r="C22" i="5"/>
  <c r="C21" i="5"/>
  <c r="C20" i="5"/>
  <c r="C19" i="5"/>
  <c r="C11" i="5"/>
  <c r="C10" i="5"/>
  <c r="C9" i="5"/>
  <c r="E9" i="5" s="1"/>
  <c r="C8" i="5"/>
  <c r="C16" i="5" s="1"/>
  <c r="C5" i="5"/>
  <c r="C8" i="1"/>
  <c r="C7" i="1"/>
  <c r="C10" i="2"/>
  <c r="C16" i="4"/>
  <c r="C15" i="4"/>
  <c r="C14" i="4"/>
  <c r="C13" i="4"/>
  <c r="C12" i="4"/>
  <c r="C11" i="4"/>
  <c r="C10" i="4"/>
  <c r="C9" i="4"/>
  <c r="C13" i="2"/>
  <c r="C18" i="6" l="1"/>
  <c r="C16" i="6"/>
  <c r="E16" i="6" s="1"/>
  <c r="C17" i="6"/>
  <c r="C8" i="6"/>
  <c r="C7" i="6"/>
  <c r="E7" i="6" s="1"/>
  <c r="C9" i="6"/>
  <c r="E40" i="5"/>
  <c r="E31" i="5"/>
  <c r="C7" i="4"/>
  <c r="C2" i="4" s="1"/>
  <c r="C18" i="5"/>
  <c r="C17" i="5"/>
  <c r="E5" i="5"/>
  <c r="C8" i="4"/>
  <c r="C14" i="2"/>
  <c r="C12" i="2"/>
  <c r="C11" i="2"/>
  <c r="E11" i="2" s="1"/>
  <c r="C9" i="2"/>
  <c r="E9" i="2" s="1"/>
  <c r="C2" i="1"/>
  <c r="C2" i="6" l="1"/>
  <c r="E2" i="6" s="1"/>
  <c r="C30" i="5"/>
  <c r="C47" i="5" s="1"/>
  <c r="E7" i="1"/>
  <c r="E2" i="1"/>
  <c r="C3" i="2"/>
  <c r="C7" i="5" l="1"/>
  <c r="E3" i="2"/>
  <c r="C4" i="2"/>
  <c r="E4" i="2" s="1"/>
  <c r="E7" i="5" l="1"/>
  <c r="C15" i="5"/>
  <c r="E15" i="5" l="1"/>
  <c r="C29" i="5"/>
  <c r="C46" i="5" l="1"/>
  <c r="E46" i="5"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<sst xmlns="http://schemas.openxmlformats.org/spreadsheetml/2006/main" count="387" uniqueCount="118">
  <si>
    <t>Értékelési terület</t>
  </si>
  <si>
    <t>Szempont</t>
  </si>
  <si>
    <t>Elért pont-szám</t>
  </si>
  <si>
    <t>Előírt minimum</t>
  </si>
  <si>
    <r>
      <t>1. Kiemelten értékelt szakkönyv, monográfia írása</t>
    </r>
    <r>
      <rPr>
        <sz val="12"/>
        <color theme="1"/>
        <rFont val="Calibri"/>
        <family val="2"/>
        <scheme val="minor"/>
      </rPr>
      <t xml:space="preserve"> (legfeljebb 3 db, 112 oldal fölötti könyv az előző fokozat után)</t>
    </r>
  </si>
  <si>
    <t>Összesen</t>
  </si>
  <si>
    <t>Teljesül</t>
  </si>
  <si>
    <t>1.1. Ebből idegen nyelven</t>
  </si>
  <si>
    <t>ÖSSZEGZÉS</t>
  </si>
  <si>
    <t>RÉSZLETEZÉS</t>
  </si>
  <si>
    <t>KÖZLEMÉNYEK ÉS ÉRTÉKELÉSÜK</t>
  </si>
  <si>
    <t>2. Folyóiratban megjelent pontozott közlemények:
ezekből:</t>
  </si>
  <si>
    <t>PhD óta</t>
  </si>
  <si>
    <t>2.1. Nemzetközi listás folyóiratokban</t>
  </si>
  <si>
    <t>2.2. A bizottság nemzetközi listás A vagy B kategóriás folyóirataiban</t>
  </si>
  <si>
    <t>2.3. Csak átsorolással (alapesetben nem) pontozott cikkek</t>
  </si>
  <si>
    <t>2. Folyóiratban megjelent pontozott közlemények:</t>
  </si>
  <si>
    <t xml:space="preserve">1-2. összesen </t>
  </si>
  <si>
    <t>mtid</t>
  </si>
  <si>
    <t>Név:</t>
  </si>
  <si>
    <t>Affiliációk:</t>
  </si>
  <si>
    <t>MTMT azonosító:</t>
  </si>
  <si>
    <t>Aux:</t>
  </si>
  <si>
    <r>
      <rPr>
        <b/>
        <sz val="12"/>
        <color theme="1"/>
        <rFont val="Calibri"/>
        <family val="2"/>
        <scheme val="minor"/>
      </rPr>
      <t>3. További pontozott közlemények</t>
    </r>
    <r>
      <rPr>
        <sz val="12"/>
        <color theme="1"/>
        <rFont val="Calibri"/>
        <family val="2"/>
        <charset val="238"/>
        <scheme val="minor"/>
      </rPr>
      <t xml:space="preserve"> (csak a 3.1-3.4 összegei!)</t>
    </r>
  </si>
  <si>
    <t>3.1. További (nem kiemelten értékelt) szakkönyv, monográfia</t>
  </si>
  <si>
    <t>3.2 Szakkönyv szerkesztése</t>
  </si>
  <si>
    <t>3.3. Tudományos könyvrész</t>
  </si>
  <si>
    <t>3.4. Konferenciaközlemény ISBN-es kötetben, ill. ISSN-es folyóiratban</t>
  </si>
  <si>
    <t>3.5. További nem pontozott tudományos közlemény</t>
  </si>
  <si>
    <r>
      <rPr>
        <b/>
        <sz val="12"/>
        <color theme="1"/>
        <rFont val="Calibri"/>
        <family val="2"/>
        <scheme val="minor"/>
      </rPr>
      <t>4. Pontozott hivatkozások</t>
    </r>
    <r>
      <rPr>
        <sz val="12"/>
        <color theme="1"/>
        <rFont val="Calibri"/>
        <family val="2"/>
        <charset val="238"/>
        <scheme val="minor"/>
      </rPr>
      <t xml:space="preserve"> (hivatkozott művek / hivatkozások / pontszám) </t>
    </r>
    <r>
      <rPr>
        <b/>
        <sz val="12"/>
        <color theme="1"/>
        <rFont val="Calibri"/>
        <family val="2"/>
        <scheme val="minor"/>
      </rPr>
      <t>(végig csak pontozott közleményekre!)</t>
    </r>
  </si>
  <si>
    <t>Teljesül: igen/nem</t>
  </si>
  <si>
    <t>4.1-4.3 összesen</t>
  </si>
  <si>
    <t>a PhD óta</t>
  </si>
  <si>
    <t>a PhD utáni közleményekre</t>
  </si>
  <si>
    <t>4.1. Hivatkozások nemzetközi GJO listás (és átsorolt) folyóiratokban</t>
  </si>
  <si>
    <t>összesen</t>
  </si>
  <si>
    <t>4.2. Hivatkozások nem nemzetközi GJO listás folyóiratokban</t>
  </si>
  <si>
    <t>4.1-4.2 összesen</t>
  </si>
  <si>
    <t>4.3. Hivatkozások további tudományos (ISBN-es és/vagy ISSN-es), nem GJO listás közleményekben</t>
  </si>
  <si>
    <t>4. Pontozott hivatkozások (hivatkozott művek / hivatkozások / pontszám) (végig csak pontozott közleményekre!)</t>
  </si>
  <si>
    <r>
      <rPr>
        <b/>
        <sz val="12"/>
        <color theme="1"/>
        <rFont val="Calibri"/>
        <family val="2"/>
        <scheme val="minor"/>
      </rPr>
      <t>1. Kiemelten értékelt szakkönyv, monográfia írása</t>
    </r>
    <r>
      <rPr>
        <sz val="12"/>
        <color theme="1"/>
        <rFont val="Calibri"/>
        <family val="2"/>
        <scheme val="minor"/>
      </rPr>
      <t xml:space="preserve"> (legfeljebb 3 db, 112 oldal fölötti könyv az előző fokozat után)</t>
    </r>
  </si>
  <si>
    <t>-</t>
  </si>
  <si>
    <t xml:space="preserve">Összesen: </t>
  </si>
  <si>
    <t>1-2-3. összesen</t>
  </si>
  <si>
    <t>1-2-3-4. összesen</t>
  </si>
  <si>
    <t>Tudományos / összes közlemény:</t>
  </si>
  <si>
    <t>Független idézők, tudományos / összes közleményre:</t>
  </si>
  <si>
    <t>Összesen (db)</t>
  </si>
  <si>
    <t>PhD óta (db)</t>
  </si>
  <si>
    <t>https://mta.hu/data/dokumentumok/doktori_tanacs/IX.%20Osztaly/2019/9GJO_DoktoriMinimumkovetelmenyekTara_20190628tol.pdf</t>
  </si>
  <si>
    <t>(12. oldal)</t>
  </si>
  <si>
    <t>A pályázó által kitöltendő és a bizottság által ellenőrizendő</t>
  </si>
  <si>
    <t>Közlemények száma:</t>
  </si>
  <si>
    <t>Tudományos közlemények száma:</t>
  </si>
  <si>
    <t>PhD megszerzésének dátuma (ÉÉÉÉ.HH.NN.):</t>
  </si>
  <si>
    <t>PhD megszerzésének éve</t>
  </si>
  <si>
    <r>
      <t xml:space="preserve">HIVATKOZÁSOK BESOROLÁSA </t>
    </r>
    <r>
      <rPr>
        <i/>
        <sz val="14"/>
        <color theme="5"/>
        <rFont val="Calibri (Szövegtörzs)"/>
        <charset val="238"/>
      </rPr>
      <t>(módosítható)</t>
    </r>
  </si>
  <si>
    <t>Közlemény</t>
  </si>
  <si>
    <t>Publikálás éve</t>
  </si>
  <si>
    <t>Típus</t>
  </si>
  <si>
    <t>Első szerző</t>
  </si>
  <si>
    <t>Cím</t>
  </si>
  <si>
    <t>Alcím</t>
  </si>
  <si>
    <t>Nyelv</t>
  </si>
  <si>
    <t>Oldalszám</t>
  </si>
  <si>
    <t>Altípus</t>
  </si>
  <si>
    <t>Kategória</t>
  </si>
  <si>
    <t>Lap értékelés kategória</t>
  </si>
  <si>
    <t>Nemzetközi</t>
  </si>
  <si>
    <t>Norvég lista</t>
  </si>
  <si>
    <t>Citációk száma</t>
  </si>
  <si>
    <t>PhD után keletkezett közlemény</t>
  </si>
  <si>
    <t>Saját ívek száma</t>
  </si>
  <si>
    <t>Pontszám</t>
  </si>
  <si>
    <t>Értékelési terület kódja</t>
  </si>
  <si>
    <t>Hivatkozás nemzetközi listás folyóiratban (db)</t>
  </si>
  <si>
    <t>Hivatkozás nem nemzetközi listás folyóiratban (db)</t>
  </si>
  <si>
    <t>Hivatkozás további teljes tudományos közleményben (db)</t>
  </si>
  <si>
    <t>Hivatkozás nemzetközi listás folyóiratban (pontszám)</t>
  </si>
  <si>
    <t>Hivatkozás nem nemzetközi listás folyóiratban (pontszám)</t>
  </si>
  <si>
    <t>Hivatkozás további teljes tudományos közleményben (pontszám)</t>
  </si>
  <si>
    <t>Citációk száma egyezik-e a hivatkozások számával</t>
  </si>
  <si>
    <t>Hivatkozás a phd fokozat megszerzése óta nemzetközi listás folyóiratban (db)</t>
  </si>
  <si>
    <t>Hivatkozás a phd fokozat megszerzése óta nem nemzetközi listás folyóiratban (db)</t>
  </si>
  <si>
    <t>Hivatkozás a phd fokozat megszerzése óta további teljes tudományos közleményben (db)</t>
  </si>
  <si>
    <t>Hivatkozás a phd fokozat megszerzése óta nemzetközi listás folyóiratban (pontszám)</t>
  </si>
  <si>
    <t>Hivatkozás a phd fokozat megszerzése óta nem nemzetközi listás folyóiratban (pontszám)</t>
  </si>
  <si>
    <t>Hivatkozás a phd fokozat megszerzése óta további teljes tudományos közleményben (pontszám)</t>
  </si>
  <si>
    <t>Évfolyam</t>
  </si>
  <si>
    <t>Szám</t>
  </si>
  <si>
    <t>Első oldal</t>
  </si>
  <si>
    <t>Utolsó oldal</t>
  </si>
  <si>
    <t>Konferencia publikáció</t>
  </si>
  <si>
    <t>Közlemény mtid</t>
  </si>
  <si>
    <t>Lap mtid</t>
  </si>
  <si>
    <t>Hivatkozás</t>
  </si>
  <si>
    <t>MTA Besorolás</t>
  </si>
  <si>
    <t>Lap értékelése kategória</t>
  </si>
  <si>
    <t>Független hivatkozások száma</t>
  </si>
  <si>
    <t>Létrehozás</t>
  </si>
  <si>
    <t>Önhivatkozás</t>
  </si>
  <si>
    <t>Dátum minimum</t>
  </si>
  <si>
    <t>Ér pontot a hivatkozás?</t>
  </si>
  <si>
    <t>Ér pontot a hivatkozás, mint a fokozat megszerzését követően írt közleményre történt hivatkozás? (Szempont="a PhD utáni közleményekre")</t>
  </si>
  <si>
    <t>Ér pontot a hivatkozás, mint a fokozat megszerzését követően történt hivatkozás? (Szempont="a PhD óta")</t>
  </si>
  <si>
    <t>PhD fokozat megszerzését követően írt közlemény</t>
  </si>
  <si>
    <t>Közlemény Kategória</t>
  </si>
  <si>
    <t>Pontbeszámítás</t>
  </si>
  <si>
    <t>Szerzők száma</t>
  </si>
  <si>
    <t>Könyv után járó pontszám számolása</t>
  </si>
  <si>
    <t>Össz-ív</t>
  </si>
  <si>
    <t>Szerzők számával normált ívszám</t>
  </si>
  <si>
    <r>
      <t>"</t>
    </r>
    <r>
      <rPr>
        <b/>
        <i/>
        <sz val="10"/>
        <rFont val="Calibri"/>
        <family val="2"/>
        <scheme val="minor"/>
      </rPr>
      <t>Kiemelten értékelendő könyvek</t>
    </r>
    <r>
      <rPr>
        <i/>
        <sz val="10"/>
        <rFont val="Calibri"/>
        <family val="2"/>
        <scheme val="minor"/>
      </rPr>
      <t>: a jelölt legfeljebb 3 db, önálló vagy legfeljebb egy társszerzővel közösen jegyzett, kandidátusi vagy doktori értekezésétől különböző témájú és tartalmú, korábbi tudományos fokozatának megszerzése után írt teljes Szakkönyve, Monográfiája. Társszerzővel írt könyv akkor javasolható, ha egyértelműen elhatárolt a szerzőség a társszerzők között, és az általa írt rész meghaladja 7 ívet (112 old.). A megjelölt könyvekből a megjelölt (a jelölt által írt) részek együttes terjedelme nem haladhatja meg a 45 ívet (kb. 720 oldalt)."</t>
    </r>
  </si>
  <si>
    <r>
      <rPr>
        <b/>
        <sz val="10"/>
        <color rgb="FFC00000"/>
        <rFont val="Calibri"/>
        <family val="2"/>
        <scheme val="minor"/>
      </rPr>
      <t>Információk és teendők: 3 KÖZLEMÉNY KIVÁLASZTÁSA</t>
    </r>
    <r>
      <rPr>
        <sz val="10"/>
        <color rgb="FFC00000"/>
        <rFont val="Calibri"/>
        <family val="2"/>
        <scheme val="minor"/>
      </rPr>
      <t xml:space="preserve">
</t>
    </r>
    <r>
      <rPr>
        <b/>
        <sz val="10"/>
        <rFont val="Calibri"/>
        <family val="2"/>
        <scheme val="minor"/>
      </rPr>
      <t>1.</t>
    </r>
    <r>
      <rPr>
        <sz val="10"/>
        <rFont val="Calibri"/>
        <family val="2"/>
        <scheme val="minor"/>
      </rPr>
      <t xml:space="preserve"> Ezen a lapfülön csak az 1 és 2 szerzős könyvek jelennek meg. A jelöltnek ki kell választania </t>
    </r>
    <r>
      <rPr>
        <b/>
        <sz val="10"/>
        <rFont val="Calibri"/>
        <family val="2"/>
        <scheme val="minor"/>
      </rPr>
      <t>maximum 3 db</t>
    </r>
    <r>
      <rPr>
        <sz val="10"/>
        <rFont val="Calibri"/>
        <family val="2"/>
        <scheme val="minor"/>
      </rPr>
      <t xml:space="preserve"> könyvet, amit ezen az értékelési területen, szakkönyvként vagy monogárfiaként kíván elszámolni. Ezek olyan könyvek, melyek legfeljebb egy társszerzősek, és az összes saját rész maximum 45 ív.
</t>
    </r>
    <r>
      <rPr>
        <b/>
        <sz val="10"/>
        <rFont val="Calibri"/>
        <family val="2"/>
        <scheme val="minor"/>
      </rPr>
      <t>2.</t>
    </r>
    <r>
      <rPr>
        <sz val="10"/>
        <rFont val="Calibri"/>
        <family val="2"/>
        <scheme val="minor"/>
      </rPr>
      <t xml:space="preserve"> A három könyv kiválasztásához a </t>
    </r>
    <r>
      <rPr>
        <b/>
        <sz val="10"/>
        <rFont val="Calibri"/>
        <family val="2"/>
        <scheme val="minor"/>
      </rPr>
      <t>Pontbeszámítás</t>
    </r>
    <r>
      <rPr>
        <sz val="10"/>
        <rFont val="Calibri"/>
        <family val="2"/>
        <scheme val="minor"/>
      </rPr>
      <t xml:space="preserve"> (AG) oszlop értékét kell beállítani a következőre: "Közlemény és hivatkozások után járó pontszám beszámítása". (Alapbeállítás: "Nem kerül beszámításra se a publikációért se a hivatkozás(ok)ért járó pontszám".)
</t>
    </r>
    <r>
      <rPr>
        <b/>
        <sz val="10"/>
        <rFont val="Calibri"/>
        <family val="2"/>
        <scheme val="minor"/>
      </rPr>
      <t>3.</t>
    </r>
    <r>
      <rPr>
        <sz val="10"/>
        <rFont val="Calibri"/>
        <family val="2"/>
        <scheme val="minor"/>
      </rPr>
      <t xml:space="preserve"> Az itt felsorolt, max. 2 szerzős könyvek a </t>
    </r>
    <r>
      <rPr>
        <b/>
        <sz val="10"/>
        <rFont val="Calibri"/>
        <family val="2"/>
        <scheme val="minor"/>
      </rPr>
      <t>3_tovabbi</t>
    </r>
    <r>
      <rPr>
        <sz val="10"/>
        <rFont val="Calibri"/>
        <family val="2"/>
        <scheme val="minor"/>
      </rPr>
      <t xml:space="preserve"> lapon is megjelennek, így ha szakkönyvként vagy monográfiaként nem kerül elszámolásra a közlemény, akkor </t>
    </r>
    <r>
      <rPr>
        <b/>
        <sz val="10"/>
        <rFont val="Calibri"/>
        <family val="2"/>
        <scheme val="minor"/>
      </rPr>
      <t>további tudományos közleményként</t>
    </r>
    <r>
      <rPr>
        <sz val="10"/>
        <rFont val="Calibri"/>
        <family val="2"/>
        <scheme val="minor"/>
      </rPr>
      <t xml:space="preserve"> (3_tovabbi) el lehet számolni. Figyelni kell, hogy ezeknél a közleményeknél csak az egyik lapfülön legyen a </t>
    </r>
    <r>
      <rPr>
        <b/>
        <sz val="10"/>
        <rFont val="Calibri"/>
        <family val="2"/>
        <scheme val="minor"/>
      </rPr>
      <t>Pontbeszámítás</t>
    </r>
    <r>
      <rPr>
        <sz val="10"/>
        <rFont val="Calibri"/>
        <family val="2"/>
        <scheme val="minor"/>
      </rPr>
      <t xml:space="preserve"> oszlop értéke "Közlemény és hivatkozások után járó pontszám beszámítása" értékű, a másikon "Nem kerül beszámításra se a publikációért se a hivatkozás(ok)ért járó pontszám" legyen az érték.</t>
    </r>
  </si>
  <si>
    <r>
      <rPr>
        <b/>
        <sz val="10"/>
        <color rgb="FFC00000"/>
        <rFont val="Calibri"/>
        <family val="2"/>
        <scheme val="minor"/>
      </rPr>
      <t>Információk és teendők: ÍVSZÁMOK</t>
    </r>
    <r>
      <rPr>
        <sz val="10"/>
        <color rgb="FFC00000"/>
        <rFont val="Calibri"/>
        <family val="2"/>
        <scheme val="minor"/>
      </rPr>
      <t xml:space="preserve">
</t>
    </r>
    <r>
      <rPr>
        <sz val="10"/>
        <rFont val="Calibri (Szövegtörzs)"/>
        <charset val="238"/>
      </rPr>
      <t>- A sza</t>
    </r>
    <r>
      <rPr>
        <sz val="10"/>
        <rFont val="Calibri"/>
        <family val="2"/>
        <scheme val="minor"/>
      </rPr>
      <t xml:space="preserve">kkönyvek és monográfiák esetében a pontszámítás az ívszám alapján zajlik, ehhez meg kell adni a közlemény </t>
    </r>
    <r>
      <rPr>
        <b/>
        <sz val="10"/>
        <rFont val="Calibri"/>
        <family val="2"/>
        <scheme val="minor"/>
      </rPr>
      <t xml:space="preserve">össz-ív számát </t>
    </r>
    <r>
      <rPr>
        <sz val="10"/>
        <rFont val="Calibri"/>
        <family val="2"/>
        <scheme val="minor"/>
      </rPr>
      <t xml:space="preserve">(L).
- </t>
    </r>
    <r>
      <rPr>
        <b/>
        <sz val="10"/>
        <rFont val="Calibri"/>
        <family val="2"/>
        <scheme val="minor"/>
      </rPr>
      <t>Egyszerzős könyv</t>
    </r>
    <r>
      <rPr>
        <sz val="10"/>
        <rFont val="Calibri"/>
        <family val="2"/>
        <scheme val="minor"/>
      </rPr>
      <t xml:space="preserve"> esetén a </t>
    </r>
    <r>
      <rPr>
        <b/>
        <sz val="10"/>
        <rFont val="Calibri"/>
        <family val="2"/>
        <scheme val="minor"/>
      </rPr>
      <t>Saját ívek száma</t>
    </r>
    <r>
      <rPr>
        <sz val="10"/>
        <rFont val="Calibri"/>
        <family val="2"/>
        <scheme val="minor"/>
      </rPr>
      <t xml:space="preserve"> megegyezik az össz-ív számmal, mindkét cellát ki kell tölteni.
- </t>
    </r>
    <r>
      <rPr>
        <b/>
        <sz val="10"/>
        <rFont val="Calibri"/>
        <family val="2"/>
        <scheme val="minor"/>
      </rPr>
      <t>Többszerzős könyvek</t>
    </r>
    <r>
      <rPr>
        <sz val="10"/>
        <rFont val="Calibri"/>
        <family val="2"/>
        <scheme val="minor"/>
      </rPr>
      <t xml:space="preserve"> esetében, amennyiben </t>
    </r>
    <r>
      <rPr>
        <b/>
        <sz val="10"/>
        <rFont val="Calibri"/>
        <family val="2"/>
        <scheme val="minor"/>
      </rPr>
      <t>elhatárolható, hogy a jelölt hány saját ívet szerzett</t>
    </r>
    <r>
      <rPr>
        <sz val="10"/>
        <rFont val="Calibri"/>
        <family val="2"/>
        <scheme val="minor"/>
      </rPr>
      <t>, azt az értéket a "Saját ívek száma" (Q) oszlopba kell beírni. Ebben az esetben a "Könyv után járó pontszám számolása" (AI) oszlopot "Saját ívek száma alapján" értékre kell állítani.
- Többszerzős könyvek esetében, ha nem határolható el a jelölt által írt rész, akkor a pontozott ívszámot a "Szerzők számával normált ívszám" oszlop adja (=össz-ív szám leosztva a szerzők számával). Ebben az esetben a "Könyv után járó pontszám számolása" (AI) oszlopot "Szerzők számával normált ívszám" értékre kell állítani.</t>
    </r>
  </si>
  <si>
    <t>[A pontszám a "Norvég lista", az "Oldalszám", a "Lap értékelés kategória", a "Nemzetközi" és a "Szerzők száma" oszlopok adatai alapján kalkulálódik.]</t>
  </si>
  <si>
    <t>[A pontszám az "Értékelési terület kódja", a "Nyelv", az "Oldalszám", a "Saját ívek száma" és a "Szerzők száma" oszlopok adatai alapján kalkulálódik.]</t>
  </si>
  <si>
    <t>[A hivatkozások lista bővíthető, valamint el is lehet távolítani belőle tételeket. A pontszám a "Típus", a "Lap értékelés kategória", az "Önhivatkozás" és a "Dátum minimum" oszlopok adatai alapján kalkulálódik.]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</si>
</sst>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2"/>
      <color theme="1"/>
      <name val="Calibri"/>
      <family val="2"/>
      <charset val="238"/>
      <scheme val="minor"/>
    </font>
    <font>
      <b/>
      <sz val="12"/>
      <color theme="1"/>
      <name val="Calibri"/>
      <family val="2"/>
      <scheme val="minor"/>
    </font>
    <font>
      <sz val="12"/>
      <color theme="1"/>
      <name val="Calibri"/>
      <family val="2"/>
      <scheme val="minor"/>
    </font>
    <font>
      <b/>
      <sz val="14"/>
      <color theme="1"/>
      <name val="Calibri"/>
      <family val="2"/>
      <scheme val="minor"/>
    </font>
    <font>
      <b/>
      <sz val="12"/>
      <color theme="1"/>
      <name val="Calibri"/>
      <family val="2"/>
    </font>
    <font>
      <sz val="12"/>
      <color theme="1"/>
      <name val="Calibri"/>
      <family val="2"/>
    </font>
    <font>
      <sz val="12"/>
      <color rgb="FFFF0000"/>
      <name val="Calibri"/>
      <family val="2"/>
      <charset val="238"/>
      <scheme val="minor"/>
    </font>
    <font>
      <sz val="12"/>
      <color theme="0"/>
      <name val="Calibri"/>
      <family val="2"/>
      <scheme val="minor"/>
    </font>
    <font>
      <b/>
      <sz val="14"/>
      <name val="Calibri"/>
      <family val="2"/>
      <scheme val="minor"/>
    </font>
    <font>
      <i/>
      <sz val="14"/>
      <color theme="5"/>
      <name val="Calibri (Szövegtörzs)"/>
      <charset val="238"/>
    </font>
    <font>
      <sz val="12"/>
      <name val="Calibri"/>
      <family val="2"/>
    </font>
    <font>
      <u/>
      <sz val="12"/>
      <color theme="10"/>
      <name val="Calibri"/>
      <family val="2"/>
      <charset val="238"/>
      <scheme val="minor"/>
    </font>
    <font>
      <b/>
      <sz val="14"/>
      <color theme="1"/>
      <name val="Calibri"/>
      <family val="2"/>
    </font>
    <font>
      <b/>
      <sz val="12"/>
      <name val="Calibri"/>
      <family val="2"/>
      <scheme val="minor"/>
    </font>
    <font>
      <sz val="12"/>
      <name val="Calibri"/>
      <family val="2"/>
      <scheme val="minor"/>
    </font>
    <font>
      <sz val="12"/>
      <color rgb="FFC00000"/>
      <name val="Calibri (Szövegtörzs)"/>
      <charset val="238"/>
    </font>
    <font>
      <i/>
      <sz val="10"/>
      <name val="Calibri"/>
      <family val="2"/>
      <scheme val="minor"/>
    </font>
    <font>
      <b/>
      <i/>
      <sz val="10"/>
      <name val="Calibri"/>
      <family val="2"/>
      <scheme val="minor"/>
    </font>
    <font>
      <sz val="10"/>
      <color rgb="FFC00000"/>
      <name val="Calibri"/>
      <family val="2"/>
      <scheme val="minor"/>
    </font>
    <font>
      <b/>
      <sz val="10"/>
      <color rgb="FFC00000"/>
      <name val="Calibri"/>
      <family val="2"/>
      <scheme val="minor"/>
    </font>
    <font>
      <b/>
      <sz val="10"/>
      <name val="Calibri"/>
      <family val="2"/>
      <scheme val="minor"/>
    </font>
    <font>
      <sz val="10"/>
      <name val="Calibri"/>
      <family val="2"/>
      <scheme val="minor"/>
    </font>
    <font>
      <sz val="10"/>
      <name val="Calibri (Szövegtörzs)"/>
      <charset val="238"/>
    </font>
  </fonts>
  <fills count="7">
    <fill>
      <patternFill patternType="none"/>
    </fill>
    <fill>
      <patternFill patternType="gray125"/>
    </fill>
    <fill>
      <patternFill patternType="solid">
        <fgColor theme="9" tint="0.79998168889431442"/>
        <bgColor indexed="64"/>
      </patternFill>
    </fill>
    <fill>
      <patternFill patternType="solid">
        <fgColor rgb="FF00B050"/>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8" tint="0.79998168889431442"/>
        <bgColor indexed="64"/>
      </patternFill>
    </fill>
  </fills>
  <borders count="3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style="thin">
        <color indexed="64"/>
      </right>
      <top style="medium">
        <color indexed="64"/>
      </top>
      <bottom/>
      <diagonal/>
    </border>
    <border>
      <left/>
      <right style="thin">
        <color indexed="64"/>
      </right>
      <top/>
      <bottom/>
      <diagonal/>
    </border>
    <border>
      <left/>
      <right style="thin">
        <color indexed="64"/>
      </right>
      <top/>
      <bottom style="medium">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bottom style="thin">
        <color indexed="64"/>
      </bottom>
      <diagonal/>
    </border>
    <border>
      <left style="medium">
        <color rgb="FFC00000"/>
      </left>
      <right/>
      <top style="medium">
        <color rgb="FFC00000"/>
      </top>
      <bottom/>
      <diagonal/>
    </border>
    <border>
      <left/>
      <right/>
      <top style="medium">
        <color rgb="FFC00000"/>
      </top>
      <bottom/>
      <diagonal/>
    </border>
    <border>
      <left/>
      <right style="medium">
        <color rgb="FFC00000"/>
      </right>
      <top style="medium">
        <color rgb="FFC00000"/>
      </top>
      <bottom/>
      <diagonal/>
    </border>
    <border>
      <left style="medium">
        <color rgb="FFC00000"/>
      </left>
      <right/>
      <top/>
      <bottom style="medium">
        <color rgb="FFC00000"/>
      </bottom>
      <diagonal/>
    </border>
    <border>
      <left/>
      <right/>
      <top/>
      <bottom style="medium">
        <color rgb="FFC00000"/>
      </bottom>
      <diagonal/>
    </border>
    <border>
      <left/>
      <right style="medium">
        <color rgb="FFC00000"/>
      </right>
      <top/>
      <bottom style="medium">
        <color rgb="FFC00000"/>
      </bottom>
      <diagonal/>
    </border>
    <border>
      <left style="medium">
        <color rgb="FFC00000"/>
      </left>
      <right/>
      <top/>
      <bottom/>
      <diagonal/>
    </border>
    <border>
      <left/>
      <right style="medium">
        <color rgb="FFC00000"/>
      </right>
      <top/>
      <bottom/>
      <diagonal/>
    </border>
    <border>
      <left style="medium">
        <color theme="6"/>
      </left>
      <right/>
      <top style="medium">
        <color theme="6"/>
      </top>
      <bottom/>
      <diagonal/>
    </border>
    <border>
      <left/>
      <right/>
      <top style="medium">
        <color theme="6"/>
      </top>
      <bottom/>
      <diagonal/>
    </border>
    <border>
      <left/>
      <right style="medium">
        <color theme="6"/>
      </right>
      <top style="medium">
        <color theme="6"/>
      </top>
      <bottom/>
      <diagonal/>
    </border>
    <border>
      <left style="medium">
        <color theme="6"/>
      </left>
      <right/>
      <top/>
      <bottom/>
      <diagonal/>
    </border>
    <border>
      <left/>
      <right style="medium">
        <color theme="6"/>
      </right>
      <top/>
      <bottom/>
      <diagonal/>
    </border>
    <border>
      <left style="medium">
        <color theme="6"/>
      </left>
      <right/>
      <top/>
      <bottom style="medium">
        <color theme="6"/>
      </bottom>
      <diagonal/>
    </border>
    <border>
      <left/>
      <right/>
      <top/>
      <bottom style="medium">
        <color theme="6"/>
      </bottom>
      <diagonal/>
    </border>
    <border>
      <left/>
      <right style="medium">
        <color theme="6"/>
      </right>
      <top/>
      <bottom style="medium">
        <color theme="6"/>
      </bottom>
      <diagonal/>
    </border>
  </borders>
  <cellStyleXfs count="2">
    <xf numFmtId="0" fontId="0" fillId="0" borderId="0"/>
    <xf numFmtId="0" fontId="11" fillId="0" borderId="0" applyNumberFormat="0" applyFill="0" applyBorder="0" applyAlignment="0" applyProtection="0"/>
  </cellStyleXfs>
  <cellXfs count="125">
    <xf numFmtId="0" fontId="0" fillId="0" borderId="0" xfId="0"/>
    <xf numFmtId="0" fontId="1" fillId="0" borderId="0" xfId="0" applyFont="1"/>
    <xf numFmtId="0" fontId="1" fillId="0" borderId="0" xfId="0" applyFont="1" applyAlignment="1">
      <alignment horizontal="left" vertical="center"/>
    </xf>
    <xf numFmtId="0" fontId="0" fillId="0" borderId="0" xfId="0" applyAlignment="1">
      <alignment horizontal="center" vertical="center"/>
    </xf>
    <xf numFmtId="0" fontId="0" fillId="0" borderId="0" xfId="0" applyAlignment="1">
      <alignment vertical="center"/>
    </xf>
    <xf numFmtId="0" fontId="1" fillId="0" borderId="8" xfId="0" applyFont="1" applyBorder="1" applyAlignment="1">
      <alignment horizontal="left" vertical="center"/>
    </xf>
    <xf numFmtId="0" fontId="1" fillId="0" borderId="4" xfId="0" applyFont="1" applyBorder="1" applyAlignment="1">
      <alignment horizontal="left" vertical="center"/>
    </xf>
    <xf numFmtId="0" fontId="2" fillId="0" borderId="0" xfId="0" applyFont="1" applyAlignment="1">
      <alignment horizontal="left" vertical="center"/>
    </xf>
    <xf numFmtId="0" fontId="1" fillId="0" borderId="10" xfId="0" applyFont="1" applyBorder="1" applyAlignment="1">
      <alignment horizontal="left" vertical="center"/>
    </xf>
    <xf numFmtId="0" fontId="1" fillId="0" borderId="8" xfId="0" applyFont="1" applyBorder="1"/>
    <xf numFmtId="0" fontId="2" fillId="0" borderId="0" xfId="0" applyFont="1" applyAlignment="1">
      <alignment horizontal="center" vertical="center"/>
    </xf>
    <xf numFmtId="0" fontId="2" fillId="0" borderId="8" xfId="0" applyFont="1" applyBorder="1" applyAlignment="1">
      <alignment vertical="center"/>
    </xf>
    <xf numFmtId="0" fontId="1" fillId="0" borderId="4" xfId="0" applyFont="1" applyBorder="1"/>
    <xf numFmtId="0" fontId="0" fillId="2" borderId="9" xfId="0" applyFill="1" applyBorder="1" applyAlignment="1">
      <alignment horizontal="center" vertical="center"/>
    </xf>
    <xf numFmtId="0" fontId="4" fillId="0" borderId="0" xfId="0" applyFont="1"/>
    <xf numFmtId="0" fontId="5" fillId="0" borderId="0" xfId="0" applyFont="1" applyAlignment="1">
      <alignment horizontal="center" vertical="center"/>
    </xf>
    <xf numFmtId="0" fontId="6" fillId="0" borderId="0" xfId="0" applyFont="1"/>
    <xf numFmtId="0" fontId="1" fillId="0" borderId="6" xfId="0" applyFont="1" applyBorder="1"/>
    <xf numFmtId="0" fontId="1" fillId="0" borderId="7" xfId="0" applyFont="1" applyBorder="1"/>
    <xf numFmtId="0" fontId="0" fillId="0" borderId="11" xfId="0" applyBorder="1" applyAlignment="1">
      <alignment horizontal="center" vertical="center"/>
    </xf>
    <xf numFmtId="0" fontId="6" fillId="0" borderId="4" xfId="0" applyFont="1" applyBorder="1"/>
    <xf numFmtId="0" fontId="0" fillId="0" borderId="9" xfId="0" applyBorder="1" applyAlignment="1">
      <alignment horizontal="center" vertical="center"/>
    </xf>
    <xf numFmtId="0" fontId="2" fillId="2" borderId="13" xfId="0" applyFont="1" applyFill="1" applyBorder="1" applyAlignment="1">
      <alignment horizontal="center" vertical="center"/>
    </xf>
    <xf numFmtId="0" fontId="2" fillId="2" borderId="14" xfId="0" applyFont="1" applyFill="1" applyBorder="1" applyAlignment="1">
      <alignment horizontal="center" vertical="center"/>
    </xf>
    <xf numFmtId="49" fontId="1" fillId="0" borderId="0" xfId="0" applyNumberFormat="1" applyFont="1"/>
    <xf numFmtId="49" fontId="0" fillId="0" borderId="0" xfId="0" applyNumberFormat="1"/>
    <xf numFmtId="0" fontId="3" fillId="0" borderId="1" xfId="0" applyFont="1" applyBorder="1" applyAlignment="1">
      <alignment horizontal="center"/>
    </xf>
    <xf numFmtId="0" fontId="3" fillId="0" borderId="2" xfId="0" applyFont="1" applyBorder="1" applyAlignment="1">
      <alignment horizontal="center"/>
    </xf>
    <xf numFmtId="0" fontId="3" fillId="0" borderId="3" xfId="0" applyFont="1" applyBorder="1" applyAlignment="1">
      <alignment horizontal="center"/>
    </xf>
    <xf numFmtId="0" fontId="1" fillId="0" borderId="0" xfId="0" applyFont="1" applyAlignment="1">
      <alignment horizontal="center"/>
    </xf>
    <xf numFmtId="0" fontId="2" fillId="0" borderId="0" xfId="0" applyFont="1" applyAlignment="1">
      <alignment horizontal="center"/>
    </xf>
    <xf numFmtId="0" fontId="2" fillId="4" borderId="0" xfId="0" applyFont="1" applyFill="1" applyAlignment="1">
      <alignment horizontal="center"/>
    </xf>
    <xf numFmtId="0" fontId="0" fillId="4" borderId="0" xfId="0" applyFill="1" applyAlignment="1">
      <alignment horizontal="center" vertical="center"/>
    </xf>
    <xf numFmtId="0" fontId="1" fillId="5" borderId="0" xfId="0" applyFont="1" applyFill="1"/>
    <xf numFmtId="0" fontId="3" fillId="0" borderId="0" xfId="0" applyFont="1"/>
    <xf numFmtId="0" fontId="1" fillId="0" borderId="8" xfId="0" applyFont="1" applyBorder="1" applyAlignment="1">
      <alignment vertical="center"/>
    </xf>
    <xf numFmtId="0" fontId="0" fillId="2" borderId="14" xfId="0" applyFill="1" applyBorder="1" applyAlignment="1">
      <alignment horizontal="center" vertical="center"/>
    </xf>
    <xf numFmtId="0" fontId="5" fillId="0" borderId="0" xfId="0" applyFont="1" applyAlignment="1">
      <alignment vertical="center"/>
    </xf>
    <xf numFmtId="0" fontId="5" fillId="0" borderId="11" xfId="0" applyFont="1" applyBorder="1" applyAlignment="1">
      <alignment horizontal="center" vertical="center"/>
    </xf>
    <xf numFmtId="0" fontId="1" fillId="0" borderId="0" xfId="0" applyFont="1" applyAlignment="1">
      <alignment horizontal="left" vertical="center" wrapText="1"/>
    </xf>
    <xf numFmtId="0" fontId="11" fillId="0" borderId="0" xfId="1" applyAlignment="1">
      <alignment vertical="center"/>
    </xf>
    <xf numFmtId="0" fontId="4" fillId="0" borderId="15" xfId="0" applyFont="1" applyBorder="1"/>
    <xf numFmtId="0" fontId="4" fillId="0" borderId="16" xfId="0" applyFont="1" applyBorder="1"/>
    <xf numFmtId="0" fontId="4" fillId="0" borderId="17" xfId="0" applyFont="1" applyBorder="1"/>
    <xf numFmtId="0" fontId="2" fillId="0" borderId="10" xfId="0" applyFont="1" applyBorder="1" applyAlignment="1">
      <alignment horizontal="left" vertical="center" wrapText="1"/>
    </xf>
    <xf numFmtId="0" fontId="0" fillId="0" borderId="0" xfId="0" applyAlignment="1">
      <alignment horizontal="center" vertical="center" wrapText="1"/>
    </xf>
    <xf numFmtId="0" fontId="10" fillId="0" borderId="0" xfId="0" applyFont="1" applyAlignment="1">
      <alignment horizontal="center" vertical="center"/>
    </xf>
    <xf numFmtId="0" fontId="0" fillId="0" borderId="10" xfId="0" applyBorder="1" applyAlignment="1">
      <alignment horizontal="left" vertical="center" wrapText="1"/>
    </xf>
    <xf numFmtId="0" fontId="0" fillId="0" borderId="0" xfId="0" applyAlignment="1">
      <alignment horizontal="left" vertical="center" wrapText="1"/>
    </xf>
    <xf numFmtId="0" fontId="0" fillId="0" borderId="11" xfId="0" applyBorder="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1" fillId="4" borderId="0" xfId="0" applyFont="1" applyFill="1" applyAlignment="1">
      <alignment horizontal="left" vertical="center" wrapText="1"/>
    </xf>
    <xf numFmtId="0" fontId="1" fillId="4" borderId="0" xfId="0" applyFont="1" applyFill="1" applyAlignment="1">
      <alignment horizontal="center" vertical="center" wrapText="1"/>
    </xf>
    <xf numFmtId="0" fontId="0" fillId="4" borderId="0" xfId="0" applyFill="1" applyAlignment="1">
      <alignment horizontal="center" vertical="center" wrapText="1"/>
    </xf>
    <xf numFmtId="0" fontId="4" fillId="0" borderId="0" xfId="0" applyFont="1" applyAlignment="1">
      <alignment horizontal="left" vertical="center" wrapText="1"/>
    </xf>
    <xf numFmtId="0" fontId="5" fillId="0" borderId="0" xfId="0" applyFont="1" applyAlignment="1">
      <alignment horizontal="center" vertical="center" wrapText="1"/>
    </xf>
    <xf numFmtId="0" fontId="5" fillId="0" borderId="0" xfId="0" applyFont="1" applyAlignment="1">
      <alignment horizontal="left" vertical="center" wrapText="1"/>
    </xf>
    <xf numFmtId="0" fontId="0" fillId="4" borderId="11" xfId="0" applyFill="1" applyBorder="1" applyAlignment="1">
      <alignment horizontal="center" vertical="center"/>
    </xf>
    <xf numFmtId="0" fontId="1" fillId="0" borderId="0" xfId="0" applyFont="1" applyAlignment="1">
      <alignment horizontal="center" vertical="center" wrapText="1"/>
    </xf>
    <xf numFmtId="0" fontId="2" fillId="0" borderId="4" xfId="0" applyFont="1" applyBorder="1" applyAlignment="1">
      <alignment horizontal="center" vertical="center" wrapText="1"/>
    </xf>
    <xf numFmtId="0" fontId="0" fillId="0" borderId="4" xfId="0" applyBorder="1" applyAlignment="1">
      <alignment horizontal="center" vertical="center"/>
    </xf>
    <xf numFmtId="0" fontId="13" fillId="0" borderId="0" xfId="0" applyFont="1"/>
    <xf numFmtId="0" fontId="14" fillId="0" borderId="0" xfId="0" applyFont="1" applyAlignment="1">
      <alignment horizontal="center" vertical="center" wrapText="1"/>
    </xf>
    <xf numFmtId="0" fontId="13" fillId="0" borderId="0" xfId="0" applyFont="1" applyAlignment="1">
      <alignment horizontal="center" vertical="center" wrapText="1"/>
    </xf>
    <xf numFmtId="0" fontId="14" fillId="4" borderId="0" xfId="0" applyFont="1" applyFill="1" applyAlignment="1">
      <alignment horizontal="center" vertical="center" wrapText="1"/>
    </xf>
    <xf numFmtId="14" fontId="0" fillId="0" borderId="0" xfId="0" applyNumberFormat="1"/>
    <xf numFmtId="0" fontId="4" fillId="0" borderId="0" xfId="0" applyFont="1" applyAlignment="1">
      <alignment horizontal="left" vertical="center"/>
    </xf>
    <xf numFmtId="0" fontId="5" fillId="0" borderId="0" xfId="0" applyFont="1" applyAlignment="1">
      <alignment horizontal="left" vertical="center"/>
    </xf>
    <xf numFmtId="0" fontId="10" fillId="0" borderId="0" xfId="0" applyFont="1" applyAlignment="1">
      <alignment horizontal="left" vertical="center"/>
    </xf>
    <xf numFmtId="0" fontId="5" fillId="4" borderId="0" xfId="0" applyFont="1" applyFill="1" applyAlignment="1">
      <alignment horizontal="left" vertical="center"/>
    </xf>
    <xf numFmtId="0" fontId="10" fillId="4" borderId="0" xfId="0" applyFont="1" applyFill="1" applyAlignment="1">
      <alignment horizontal="left" vertical="center"/>
    </xf>
    <xf numFmtId="0" fontId="4" fillId="0" borderId="0" xfId="0" applyFont="1" applyProtection="1">
      <protection locked="0"/>
    </xf>
    <xf numFmtId="0" fontId="1" fillId="6" borderId="0" xfId="0" applyFont="1" applyFill="1"/>
    <xf numFmtId="0" fontId="1" fillId="2" borderId="0" xfId="0" applyFont="1" applyFill="1"/>
    <xf numFmtId="0" fontId="2" fillId="0" borderId="13" xfId="0" applyFont="1" applyBorder="1" applyAlignment="1">
      <alignment horizontal="center" vertical="center"/>
    </xf>
    <xf numFmtId="0" fontId="1" fillId="0" borderId="0" xfId="0" applyFont="1" applyProtection="1">
      <protection locked="0"/>
    </xf>
    <xf numFmtId="0" fontId="15" fillId="0" borderId="0" xfId="0" applyFont="1" applyAlignment="1">
      <alignment vertical="top" wrapText="1"/>
    </xf>
    <xf numFmtId="0" fontId="18" fillId="0" borderId="0" xfId="0" applyFont="1" applyAlignment="1">
      <alignment vertical="top" wrapText="1"/>
    </xf>
    <xf numFmtId="0" fontId="0" fillId="0" borderId="8" xfId="0" applyBorder="1" applyAlignment="1">
      <alignment horizontal="left" vertical="center"/>
    </xf>
    <xf numFmtId="0" fontId="0" fillId="0" borderId="4" xfId="0" applyBorder="1" applyAlignment="1">
      <alignment horizontal="left" vertical="center"/>
    </xf>
    <xf numFmtId="0" fontId="0" fillId="0" borderId="10" xfId="0" applyBorder="1" applyAlignment="1">
      <alignment horizontal="left" vertical="center" wrapText="1"/>
    </xf>
    <xf numFmtId="0" fontId="1" fillId="4" borderId="10" xfId="0" applyFont="1" applyFill="1" applyBorder="1" applyAlignment="1">
      <alignment horizontal="left" vertical="center"/>
    </xf>
    <xf numFmtId="0" fontId="0" fillId="0" borderId="10" xfId="0" applyBorder="1" applyAlignment="1">
      <alignment horizontal="left" vertical="center"/>
    </xf>
    <xf numFmtId="0" fontId="0" fillId="0" borderId="0" xfId="0" applyAlignment="1">
      <alignment horizontal="left" vertical="center"/>
    </xf>
    <xf numFmtId="0" fontId="1" fillId="4" borderId="10" xfId="0" applyFont="1" applyFill="1" applyBorder="1" applyAlignment="1">
      <alignment horizontal="left" vertical="center" wrapText="1"/>
    </xf>
    <xf numFmtId="0" fontId="5" fillId="0" borderId="10" xfId="0" applyFont="1" applyBorder="1" applyAlignment="1">
      <alignment horizontal="left" vertical="center"/>
    </xf>
    <xf numFmtId="0" fontId="12" fillId="0" borderId="5" xfId="0" applyFont="1" applyBorder="1" applyAlignment="1">
      <alignment horizontal="center" vertical="center"/>
    </xf>
    <xf numFmtId="0" fontId="12" fillId="0" borderId="6" xfId="0" applyFont="1" applyBorder="1" applyAlignment="1">
      <alignment horizontal="center" vertical="center"/>
    </xf>
    <xf numFmtId="0" fontId="12" fillId="0" borderId="7" xfId="0" applyFont="1" applyBorder="1" applyAlignment="1">
      <alignment horizontal="center" vertical="center"/>
    </xf>
    <xf numFmtId="0" fontId="2" fillId="0" borderId="10" xfId="0" applyFont="1" applyBorder="1" applyAlignment="1">
      <alignment horizontal="left" vertical="center" wrapText="1"/>
    </xf>
    <xf numFmtId="0" fontId="1" fillId="0" borderId="10" xfId="0" applyFont="1" applyBorder="1" applyAlignment="1">
      <alignment horizontal="left" vertical="center" wrapText="1"/>
    </xf>
    <xf numFmtId="0" fontId="3" fillId="0" borderId="1" xfId="0" applyFont="1" applyBorder="1" applyAlignment="1">
      <alignment horizontal="center"/>
    </xf>
    <xf numFmtId="0" fontId="3" fillId="0" borderId="2" xfId="0" applyFont="1" applyBorder="1" applyAlignment="1">
      <alignment horizontal="center"/>
    </xf>
    <xf numFmtId="0" fontId="3" fillId="0" borderId="3" xfId="0" applyFont="1" applyBorder="1" applyAlignment="1">
      <alignment horizontal="center"/>
    </xf>
    <xf numFmtId="0" fontId="18" fillId="0" borderId="18" xfId="0" applyFont="1" applyBorder="1" applyAlignment="1">
      <alignment horizontal="left" vertical="top" wrapText="1"/>
    </xf>
    <xf numFmtId="0" fontId="18" fillId="0" borderId="19" xfId="0" applyFont="1" applyBorder="1" applyAlignment="1">
      <alignment horizontal="left" vertical="top" wrapText="1"/>
    </xf>
    <xf numFmtId="0" fontId="18" fillId="0" borderId="20" xfId="0" applyFont="1" applyBorder="1" applyAlignment="1">
      <alignment horizontal="left" vertical="top" wrapText="1"/>
    </xf>
    <xf numFmtId="0" fontId="18" fillId="0" borderId="24" xfId="0" applyFont="1" applyBorder="1" applyAlignment="1">
      <alignment horizontal="left" vertical="top" wrapText="1"/>
    </xf>
    <xf numFmtId="0" fontId="18" fillId="0" borderId="0" xfId="0" applyFont="1" applyAlignment="1">
      <alignment horizontal="left" vertical="top" wrapText="1"/>
    </xf>
    <xf numFmtId="0" fontId="18" fillId="0" borderId="25" xfId="0" applyFont="1" applyBorder="1" applyAlignment="1">
      <alignment horizontal="left" vertical="top" wrapText="1"/>
    </xf>
    <xf numFmtId="0" fontId="18" fillId="0" borderId="21" xfId="0" applyFont="1" applyBorder="1" applyAlignment="1">
      <alignment horizontal="left" vertical="top" wrapText="1"/>
    </xf>
    <xf numFmtId="0" fontId="18" fillId="0" borderId="22" xfId="0" applyFont="1" applyBorder="1" applyAlignment="1">
      <alignment horizontal="left" vertical="top" wrapText="1"/>
    </xf>
    <xf numFmtId="0" fontId="18" fillId="0" borderId="23" xfId="0" applyFont="1" applyBorder="1" applyAlignment="1">
      <alignment horizontal="left" vertical="top" wrapText="1"/>
    </xf>
    <xf numFmtId="0" fontId="16" fillId="0" borderId="26" xfId="0" applyFont="1" applyBorder="1" applyAlignment="1">
      <alignment horizontal="left" vertical="top" wrapText="1"/>
    </xf>
    <xf numFmtId="0" fontId="16" fillId="0" borderId="27" xfId="0" applyFont="1" applyBorder="1" applyAlignment="1">
      <alignment horizontal="left" vertical="top" wrapText="1"/>
    </xf>
    <xf numFmtId="0" fontId="16" fillId="0" borderId="28" xfId="0" applyFont="1" applyBorder="1" applyAlignment="1">
      <alignment horizontal="left" vertical="top" wrapText="1"/>
    </xf>
    <xf numFmtId="0" fontId="16" fillId="0" borderId="29" xfId="0" applyFont="1" applyBorder="1" applyAlignment="1">
      <alignment horizontal="left" vertical="top" wrapText="1"/>
    </xf>
    <xf numFmtId="0" fontId="16" fillId="0" borderId="0" xfId="0" applyFont="1" applyAlignment="1">
      <alignment horizontal="left" vertical="top" wrapText="1"/>
    </xf>
    <xf numFmtId="0" fontId="16" fillId="0" borderId="30" xfId="0" applyFont="1" applyBorder="1" applyAlignment="1">
      <alignment horizontal="left" vertical="top" wrapText="1"/>
    </xf>
    <xf numFmtId="0" fontId="16" fillId="0" borderId="31" xfId="0" applyFont="1" applyBorder="1" applyAlignment="1">
      <alignment horizontal="left" vertical="top" wrapText="1"/>
    </xf>
    <xf numFmtId="0" fontId="16" fillId="0" borderId="32" xfId="0" applyFont="1" applyBorder="1" applyAlignment="1">
      <alignment horizontal="left" vertical="top" wrapText="1"/>
    </xf>
    <xf numFmtId="0" fontId="16" fillId="0" borderId="33" xfId="0" applyFont="1" applyBorder="1" applyAlignment="1">
      <alignment horizontal="left" vertical="top" wrapText="1"/>
    </xf>
    <xf numFmtId="0" fontId="3" fillId="0" borderId="5" xfId="0" applyFont="1" applyBorder="1" applyAlignment="1">
      <alignment horizontal="center"/>
    </xf>
    <xf numFmtId="0" fontId="3" fillId="0" borderId="6" xfId="0" applyFont="1" applyBorder="1" applyAlignment="1">
      <alignment horizontal="center"/>
    </xf>
    <xf numFmtId="0" fontId="3" fillId="0" borderId="12" xfId="0" applyFont="1" applyBorder="1" applyAlignment="1">
      <alignment horizontal="center"/>
    </xf>
    <xf numFmtId="0" fontId="1" fillId="0" borderId="0" xfId="0" applyFont="1" applyAlignment="1">
      <alignment horizontal="left" vertical="center" wrapText="1"/>
    </xf>
    <xf numFmtId="0" fontId="1" fillId="0" borderId="0" xfId="0" applyFont="1" applyAlignment="1">
      <alignment horizontal="left" vertical="center"/>
    </xf>
    <xf numFmtId="0" fontId="7" fillId="3" borderId="0" xfId="0" applyFont="1" applyFill="1" applyAlignment="1">
      <alignment horizontal="center" vertical="center" wrapText="1"/>
    </xf>
    <xf numFmtId="0" fontId="3" fillId="0" borderId="7" xfId="0" applyFont="1" applyBorder="1" applyAlignment="1">
      <alignment horizontal="center"/>
    </xf>
    <xf numFmtId="0" fontId="2" fillId="0" borderId="0" xfId="0" applyFont="1" applyAlignment="1">
      <alignment horizontal="left" vertical="center"/>
    </xf>
    <xf numFmtId="0" fontId="8" fillId="0" borderId="1" xfId="0" applyFont="1" applyBorder="1" applyAlignment="1">
      <alignment horizontal="center"/>
    </xf>
    <xf numFmtId="0" fontId="8" fillId="0" borderId="2" xfId="0" applyFont="1" applyBorder="1" applyAlignment="1">
      <alignment horizontal="center"/>
    </xf>
    <xf numFmtId="0" fontId="8" fillId="0" borderId="3" xfId="0" applyFont="1" applyBorder="1" applyAlignment="1">
      <alignment horizontal="center"/>
    </xf>
    <xf numFmtId="0" fontId="1" fillId="4" borderId="0" xfId="0" applyFont="1" applyFill="1" applyAlignment="1">
      <alignment horizontal="left" vertical="center"/>
    </xf>
  </cellXfs>
  <cellStyles count="2">
    <cellStyle name="Hivatkozás" xfId="1" builtinId="8"/>
    <cellStyle name="Normál" xfId="0" builtinId="0"/>
  </cellStyles>
  <dxfs count="34">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té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mta.hu/data/dokumentumok/doktori_tanacs/IX.%20Osztaly/2019/9GJO_DoktoriMinimumkovetelmenyekTara_20190628tol.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0F82D-7D40-5042-A02E-1AB8144C9B4C}">
  <dimension ref="A1:B8"/>
  <sheetViews>
    <sheetView tabSelected="1" workbookViewId="0"/>
  </sheetViews>
  <sheetFormatPr baseColWidth="10" defaultRowHeight="16" x14ac:dyDescent="0.2"/>
  <cols>
    <col min="1" max="1" width="30" bestFit="1" customWidth="1"/>
  </cols>
  <sheetData>
    <row r="1" spans="1:2" x14ac:dyDescent="0.2">
      <c r="A1" s="1" t="s">
        <v>21</v>
      </c>
    </row>
    <row r="2" spans="1:2" x14ac:dyDescent="0.2">
      <c r="A2" s="1" t="s">
        <v>19</v>
      </c>
    </row>
    <row r="3" spans="1:2" x14ac:dyDescent="0.2">
      <c r="A3" s="62" t="s">
        <v>22</v>
      </c>
    </row>
    <row r="4" spans="1:2" x14ac:dyDescent="0.2">
      <c r="A4" s="1" t="s">
        <v>54</v>
      </c>
      <c r="B4" s="66"/>
    </row>
    <row r="5" spans="1:2" x14ac:dyDescent="0.2">
      <c r="A5" s="1" t="s">
        <v>55</v>
      </c>
    </row>
    <row r="6" spans="1:2" x14ac:dyDescent="0.2">
      <c r="A6" s="1" t="s">
        <v>52</v>
      </c>
    </row>
    <row r="7" spans="1:2" x14ac:dyDescent="0.2">
      <c r="A7" s="1" t="s">
        <v>53</v>
      </c>
    </row>
    <row r="8" spans="1:2" x14ac:dyDescent="0.2">
      <c r="A8" s="1" t="s">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691AF-0EA5-D24F-9F63-31C8A704F39F}">
  <dimension ref="A1:F49"/>
  <sheetViews>
    <sheetView zoomScale="75" workbookViewId="0"/>
  </sheetViews>
  <sheetFormatPr baseColWidth="10" defaultRowHeight="16" x14ac:dyDescent="0.2"/>
  <cols>
    <col min="1" max="1" width="95.83203125" bestFit="1" customWidth="1"/>
    <col min="2" max="2" width="24.33203125" customWidth="1"/>
  </cols>
  <sheetData>
    <row r="1" spans="1:5" x14ac:dyDescent="0.2">
      <c r="A1" s="40" t="s">
        <v>49</v>
      </c>
    </row>
    <row r="2" spans="1:5" ht="17" thickBot="1" x14ac:dyDescent="0.25">
      <c r="A2" s="37" t="s">
        <v>50</v>
      </c>
    </row>
    <row r="3" spans="1:5" ht="19" x14ac:dyDescent="0.2">
      <c r="A3" s="87" t="s">
        <v>51</v>
      </c>
      <c r="B3" s="88"/>
      <c r="C3" s="88"/>
      <c r="D3" s="88"/>
      <c r="E3" s="89"/>
    </row>
    <row r="4" spans="1:5" x14ac:dyDescent="0.2">
      <c r="A4" s="43" t="s">
        <v>0</v>
      </c>
      <c r="B4" s="41" t="s">
        <v>1</v>
      </c>
      <c r="C4" s="41" t="s">
        <v>2</v>
      </c>
      <c r="D4" s="41" t="s">
        <v>3</v>
      </c>
      <c r="E4" s="42" t="s">
        <v>6</v>
      </c>
    </row>
    <row r="5" spans="1:5" ht="17" customHeight="1" x14ac:dyDescent="0.2">
      <c r="A5" s="44" t="s">
        <v>40</v>
      </c>
      <c r="B5" s="39" t="s">
        <v>5</v>
      </c>
      <c r="C5" s="45">
        <f>'1_szakkonyv_monog'!C2</f>
        <v>0</v>
      </c>
      <c r="D5" s="46">
        <v>40</v>
      </c>
      <c r="E5" s="38" t="str">
        <f>IF(C5&gt;=D5,"Igen","Nem")</f>
        <v>Nem</v>
      </c>
    </row>
    <row r="6" spans="1:5" ht="17" x14ac:dyDescent="0.2">
      <c r="A6" s="47" t="s">
        <v>7</v>
      </c>
      <c r="B6" s="48" t="s">
        <v>5</v>
      </c>
      <c r="C6" s="45">
        <f>SUMIF('1_szakkonyv_monog'!H13:H1048576,"&lt;&gt;Magyar",'1_szakkonyv_monog'!R13:R1048576)</f>
        <v>0</v>
      </c>
      <c r="D6" s="45" t="s">
        <v>41</v>
      </c>
      <c r="E6" s="49" t="s">
        <v>41</v>
      </c>
    </row>
    <row r="7" spans="1:5" ht="17" customHeight="1" x14ac:dyDescent="0.2">
      <c r="A7" s="91" t="s">
        <v>11</v>
      </c>
      <c r="B7" s="39" t="s">
        <v>5</v>
      </c>
      <c r="C7" s="50">
        <f>'2_folyoirat'!C3</f>
        <v>0</v>
      </c>
      <c r="D7" s="45">
        <v>120</v>
      </c>
      <c r="E7" s="38" t="str">
        <f>IF(C7&gt;=D7,"Igen","Nem")</f>
        <v>Nem</v>
      </c>
    </row>
    <row r="8" spans="1:5" ht="17" x14ac:dyDescent="0.2">
      <c r="A8" s="91"/>
      <c r="B8" s="39" t="s">
        <v>12</v>
      </c>
      <c r="C8" s="50">
        <f>SUMIF('2_folyoirat'!T21:T1048576,"=IGAZ",'2_folyoirat'!U21:U1048576)</f>
        <v>0</v>
      </c>
      <c r="D8" s="45" t="s">
        <v>41</v>
      </c>
      <c r="E8" s="49" t="s">
        <v>41</v>
      </c>
    </row>
    <row r="9" spans="1:5" ht="17" x14ac:dyDescent="0.2">
      <c r="A9" s="81" t="s">
        <v>13</v>
      </c>
      <c r="B9" s="51" t="s">
        <v>5</v>
      </c>
      <c r="C9" s="50">
        <f ca="1">SUMIFS('2_folyoirat'!U21:U1048576,'2_folyoirat'!P21:P1048576,"&lt;&gt;""",'2_folyoirat'!Q21:Q1048576,"=IGAZ")</f>
        <v>0</v>
      </c>
      <c r="D9" s="45">
        <v>35</v>
      </c>
      <c r="E9" s="38" t="str">
        <f ca="1">IF(C9&gt;=D9,"Igen","Nem")</f>
        <v>Nem</v>
      </c>
    </row>
    <row r="10" spans="1:5" ht="17" x14ac:dyDescent="0.2">
      <c r="A10" s="81"/>
      <c r="B10" s="51" t="s">
        <v>12</v>
      </c>
      <c r="C10" s="50">
        <f ca="1">SUMIFS('2_folyoirat'!U21:U1048576,'2_folyoirat'!P21:P1048576,"&lt;&gt;""",'2_folyoirat'!Q21:Q1048576,"=IGAZ",'2_folyoirat'!T21:T1048576,"=IGAZ")</f>
        <v>0</v>
      </c>
      <c r="D10" s="45" t="s">
        <v>41</v>
      </c>
      <c r="E10" s="49" t="s">
        <v>41</v>
      </c>
    </row>
    <row r="11" spans="1:5" ht="17" x14ac:dyDescent="0.2">
      <c r="A11" s="81" t="s">
        <v>14</v>
      </c>
      <c r="B11" s="51" t="s">
        <v>5</v>
      </c>
      <c r="C11" s="50">
        <f ca="1">SUM(SUMIFS('2_folyoirat'!U21:U1048576,'2_folyoirat'!P21:P1048576,"=A",'2_folyoirat'!Q21:Q1048576,"=IGAZ"),SUMIFS('2_folyoirat'!U21:U1048576,'2_folyoirat'!P21:P1048576,"=B",'2_folyoirat'!Q21:Q1048576,"=IGAZ"))</f>
        <v>0</v>
      </c>
      <c r="D11" s="45" t="s">
        <v>41</v>
      </c>
      <c r="E11" s="49" t="s">
        <v>41</v>
      </c>
    </row>
    <row r="12" spans="1:5" ht="17" x14ac:dyDescent="0.2">
      <c r="A12" s="81"/>
      <c r="B12" s="51" t="s">
        <v>12</v>
      </c>
      <c r="C12" s="50">
        <f ca="1">SUM(SUMIFS('2_folyoirat'!U21:U1048576,'2_folyoirat'!P21:P1048576,"=A",'2_folyoirat'!Q21:Q1048576,"=IGAZ",'2_folyoirat'!T21:T1048576,"=IGAZ"),SUMIFS('2_folyoirat'!U21:U1048576,'2_folyoirat'!P21:P1048576,"=B",'2_folyoirat'!Q21:Q1048576,"=IGAZ",'2_folyoirat'!T21:T1048576,"=IGAZ"))</f>
        <v>0</v>
      </c>
      <c r="D12" s="45" t="s">
        <v>41</v>
      </c>
      <c r="E12" s="49" t="s">
        <v>41</v>
      </c>
    </row>
    <row r="13" spans="1:5" ht="17" x14ac:dyDescent="0.2">
      <c r="A13" s="81" t="s">
        <v>15</v>
      </c>
      <c r="B13" s="51" t="s">
        <v>5</v>
      </c>
      <c r="C13" s="50">
        <f>SUMIF('2_folyoirat'!P21:P1048576,"",'2_folyoirat'!U21:U1048576)</f>
        <v>0</v>
      </c>
      <c r="D13" s="45" t="s">
        <v>41</v>
      </c>
      <c r="E13" s="49" t="s">
        <v>41</v>
      </c>
    </row>
    <row r="14" spans="1:5" ht="17" x14ac:dyDescent="0.2">
      <c r="A14" s="81"/>
      <c r="B14" s="51" t="s">
        <v>12</v>
      </c>
      <c r="C14" s="50">
        <f ca="1">SUMIFS('2_folyoirat'!U21:U1048576,'2_folyoirat'!P21:P1048576, "",'2_folyoirat'!T21:T1048576,"IGAZ")</f>
        <v>0</v>
      </c>
      <c r="D14" s="45" t="s">
        <v>41</v>
      </c>
      <c r="E14" s="49" t="s">
        <v>41</v>
      </c>
    </row>
    <row r="15" spans="1:5" ht="17" x14ac:dyDescent="0.2">
      <c r="A15" s="85" t="s">
        <v>17</v>
      </c>
      <c r="B15" s="52" t="s">
        <v>42</v>
      </c>
      <c r="C15" s="53">
        <f>C5+C7</f>
        <v>0</v>
      </c>
      <c r="D15" s="54">
        <v>180</v>
      </c>
      <c r="E15" s="38" t="str">
        <f>IF(C15&gt;=D15,"Igen","Nem")</f>
        <v>Nem</v>
      </c>
    </row>
    <row r="16" spans="1:5" ht="17" x14ac:dyDescent="0.2">
      <c r="A16" s="85"/>
      <c r="B16" s="52" t="s">
        <v>12</v>
      </c>
      <c r="C16" s="53">
        <f>SUM(C8,SUMIF('1_szakkonyv_monog'!P13:P17,"=IGAZ",'1_szakkonyv_monog'!R13:R1048576))</f>
        <v>0</v>
      </c>
      <c r="D16" s="45" t="s">
        <v>41</v>
      </c>
      <c r="E16" s="49" t="s">
        <v>41</v>
      </c>
    </row>
    <row r="17" spans="1:6" ht="17" x14ac:dyDescent="0.2">
      <c r="A17" s="86" t="s">
        <v>23</v>
      </c>
      <c r="B17" s="55" t="s">
        <v>5</v>
      </c>
      <c r="C17" s="56">
        <f>SUM(C19,C21,C23,C25)</f>
        <v>0</v>
      </c>
      <c r="D17" s="45" t="s">
        <v>41</v>
      </c>
      <c r="E17" s="49" t="s">
        <v>41</v>
      </c>
    </row>
    <row r="18" spans="1:6" ht="17" x14ac:dyDescent="0.2">
      <c r="A18" s="86"/>
      <c r="B18" s="55" t="s">
        <v>12</v>
      </c>
      <c r="C18" s="56">
        <f ca="1">SUM(C20,C22,C24,C26)</f>
        <v>0</v>
      </c>
      <c r="D18" s="45" t="s">
        <v>41</v>
      </c>
      <c r="E18" s="49" t="s">
        <v>41</v>
      </c>
    </row>
    <row r="19" spans="1:6" ht="17" x14ac:dyDescent="0.2">
      <c r="A19" s="86" t="s">
        <v>24</v>
      </c>
      <c r="B19" s="57" t="s">
        <v>5</v>
      </c>
      <c r="C19" s="56">
        <f>SUMIF('3_tovabbi'!T23:T1048576,"3.1",'3_tovabbi'!S23:S1048576)</f>
        <v>0</v>
      </c>
      <c r="D19" s="45" t="s">
        <v>41</v>
      </c>
      <c r="E19" s="49" t="s">
        <v>41</v>
      </c>
    </row>
    <row r="20" spans="1:6" ht="17" x14ac:dyDescent="0.2">
      <c r="A20" s="86"/>
      <c r="B20" s="57" t="s">
        <v>12</v>
      </c>
      <c r="C20" s="15">
        <f ca="1">SUMIFS('3_tovabbi'!S23:S1048576,'3_tovabbi'!Q23:Q1048576,"IGAZ",'3_tovabbi'!T23:T1048576,"3.1")</f>
        <v>0</v>
      </c>
      <c r="D20" s="45" t="s">
        <v>41</v>
      </c>
      <c r="E20" s="49" t="s">
        <v>41</v>
      </c>
    </row>
    <row r="21" spans="1:6" ht="17" x14ac:dyDescent="0.2">
      <c r="A21" s="86" t="s">
        <v>25</v>
      </c>
      <c r="B21" s="57" t="s">
        <v>5</v>
      </c>
      <c r="C21" s="15">
        <f>SUMIF('3_tovabbi'!T23:T1048576,"3.2",'3_tovabbi'!S23:S1048576)</f>
        <v>0</v>
      </c>
      <c r="D21" s="45" t="s">
        <v>41</v>
      </c>
      <c r="E21" s="49" t="s">
        <v>41</v>
      </c>
    </row>
    <row r="22" spans="1:6" ht="17" x14ac:dyDescent="0.2">
      <c r="A22" s="86"/>
      <c r="B22" s="57" t="s">
        <v>12</v>
      </c>
      <c r="C22" s="15">
        <f ca="1">SUMIFS('3_tovabbi'!S23:S1048576,'3_tovabbi'!Q23:Q1048576,"IGAZ",'3_tovabbi'!T23:T1048576,"3.2")</f>
        <v>0</v>
      </c>
      <c r="D22" s="45" t="s">
        <v>41</v>
      </c>
      <c r="E22" s="49" t="s">
        <v>41</v>
      </c>
    </row>
    <row r="23" spans="1:6" ht="17" x14ac:dyDescent="0.2">
      <c r="A23" s="86" t="s">
        <v>26</v>
      </c>
      <c r="B23" s="57" t="s">
        <v>5</v>
      </c>
      <c r="C23" s="15">
        <f>SUMIF('3_tovabbi'!T23:T1048576,"3.3",'3_tovabbi'!S23:S1048576)</f>
        <v>0</v>
      </c>
      <c r="D23" s="45" t="s">
        <v>41</v>
      </c>
      <c r="E23" s="49" t="s">
        <v>41</v>
      </c>
    </row>
    <row r="24" spans="1:6" ht="17" x14ac:dyDescent="0.2">
      <c r="A24" s="86"/>
      <c r="B24" s="57" t="s">
        <v>12</v>
      </c>
      <c r="C24" s="15">
        <f ca="1">SUMIFS('3_tovabbi'!S23:S1048576,'3_tovabbi'!Q23:Q1048576,"IGAZ",'3_tovabbi'!T23:T1048576,"3.3")</f>
        <v>0</v>
      </c>
      <c r="D24" s="45" t="s">
        <v>41</v>
      </c>
      <c r="E24" s="49" t="s">
        <v>41</v>
      </c>
    </row>
    <row r="25" spans="1:6" ht="17" x14ac:dyDescent="0.2">
      <c r="A25" s="86" t="s">
        <v>27</v>
      </c>
      <c r="B25" s="57" t="s">
        <v>5</v>
      </c>
      <c r="C25" s="15">
        <f>SUMIF('3_tovabbi'!T23:T1048576,"3.4",'3_tovabbi'!S23:S1048576)</f>
        <v>0</v>
      </c>
      <c r="D25" s="45" t="s">
        <v>41</v>
      </c>
      <c r="E25" s="49" t="s">
        <v>41</v>
      </c>
      <c r="F25" s="25"/>
    </row>
    <row r="26" spans="1:6" ht="17" x14ac:dyDescent="0.2">
      <c r="A26" s="86"/>
      <c r="B26" s="57" t="s">
        <v>12</v>
      </c>
      <c r="C26" s="15">
        <f ca="1">SUMIFS('3_tovabbi'!S23:S1048576,'3_tovabbi'!Q23:Q1048576,"IGAZ",'3_tovabbi'!T23:T1048576,"3.4")</f>
        <v>0</v>
      </c>
      <c r="D26" s="45" t="s">
        <v>41</v>
      </c>
      <c r="E26" s="49" t="s">
        <v>41</v>
      </c>
      <c r="F26" s="25"/>
    </row>
    <row r="27" spans="1:6" ht="17" x14ac:dyDescent="0.2">
      <c r="A27" s="86" t="s">
        <v>28</v>
      </c>
      <c r="B27" s="57" t="s">
        <v>47</v>
      </c>
      <c r="C27" s="46" cm="1">
        <f t="array" ref="C27">SUM(IF('3_tovabbi'!T23:T1048576="3.5",1,0))</f>
        <v>0</v>
      </c>
      <c r="D27" s="45" t="s">
        <v>41</v>
      </c>
      <c r="E27" s="49" t="s">
        <v>41</v>
      </c>
      <c r="F27" s="25"/>
    </row>
    <row r="28" spans="1:6" ht="17" x14ac:dyDescent="0.2">
      <c r="A28" s="86"/>
      <c r="B28" s="57" t="s">
        <v>48</v>
      </c>
      <c r="C28" s="46" cm="1">
        <f t="array" ref="C28">SUM(IF('3_tovabbi'!T23:T1048576="3.5",1,0))-SUM(IF(('3_tovabbi'!T23:T1048576="3.5")*('3_tovabbi'!Q23:Q1048576=FALSE)*('3_tovabbi'!Q23:Q1048576&lt;&gt;""),1,0))</f>
        <v>0</v>
      </c>
      <c r="D28" s="45" t="s">
        <v>41</v>
      </c>
      <c r="E28" s="49" t="s">
        <v>41</v>
      </c>
    </row>
    <row r="29" spans="1:6" ht="17" x14ac:dyDescent="0.2">
      <c r="A29" s="82" t="s">
        <v>43</v>
      </c>
      <c r="B29" s="52" t="s">
        <v>5</v>
      </c>
      <c r="C29" s="53">
        <f>SUM(C15,C17)</f>
        <v>0</v>
      </c>
      <c r="D29" s="32" t="s">
        <v>41</v>
      </c>
      <c r="E29" s="58" t="s">
        <v>41</v>
      </c>
    </row>
    <row r="30" spans="1:6" ht="17" x14ac:dyDescent="0.2">
      <c r="A30" s="82"/>
      <c r="B30" s="52" t="s">
        <v>12</v>
      </c>
      <c r="C30" s="53">
        <f ca="1">SUM(C16,C18)</f>
        <v>0</v>
      </c>
      <c r="D30" s="32" t="s">
        <v>41</v>
      </c>
      <c r="E30" s="58" t="s">
        <v>41</v>
      </c>
    </row>
    <row r="31" spans="1:6" ht="17" customHeight="1" x14ac:dyDescent="0.2">
      <c r="A31" s="90" t="s">
        <v>29</v>
      </c>
      <c r="B31" s="67" t="s">
        <v>31</v>
      </c>
      <c r="C31" s="59">
        <f>C34+C37+C43</f>
        <v>0</v>
      </c>
      <c r="D31" s="45">
        <v>80</v>
      </c>
      <c r="E31" s="38" t="str">
        <f>IF(C31&gt;=D31,"Igen","Nem")</f>
        <v>Nem</v>
      </c>
    </row>
    <row r="32" spans="1:6" ht="17" customHeight="1" x14ac:dyDescent="0.2">
      <c r="A32" s="81"/>
      <c r="B32" s="67" t="s">
        <v>32</v>
      </c>
      <c r="C32" s="59">
        <f>C35+C38+C44</f>
        <v>0</v>
      </c>
      <c r="D32" s="3" t="s">
        <v>41</v>
      </c>
      <c r="E32" s="19" t="s">
        <v>41</v>
      </c>
    </row>
    <row r="33" spans="1:5" ht="17" customHeight="1" x14ac:dyDescent="0.2">
      <c r="A33" s="81"/>
      <c r="B33" s="67" t="s">
        <v>33</v>
      </c>
      <c r="C33" s="64">
        <f>C36+C39+C45</f>
        <v>0</v>
      </c>
      <c r="D33" s="3" t="s">
        <v>41</v>
      </c>
      <c r="E33" s="19" t="s">
        <v>41</v>
      </c>
    </row>
    <row r="34" spans="1:5" ht="17" customHeight="1" x14ac:dyDescent="0.2">
      <c r="A34" s="83" t="s">
        <v>34</v>
      </c>
      <c r="B34" s="68" t="s">
        <v>35</v>
      </c>
      <c r="C34" s="50">
        <f>SUM('1_szakkonyv_monog'!W13:W1048576,'2_folyoirat'!Z21:Z1048576,'3_tovabbi'!X23:X1048576)</f>
        <v>0</v>
      </c>
      <c r="D34" s="3" t="s">
        <v>41</v>
      </c>
      <c r="E34" s="19" t="s">
        <v>41</v>
      </c>
    </row>
    <row r="35" spans="1:5" ht="17" customHeight="1" x14ac:dyDescent="0.2">
      <c r="A35" s="83"/>
      <c r="B35" s="68" t="s">
        <v>32</v>
      </c>
      <c r="C35" s="50">
        <f>SUM('1_szakkonyv_monog'!AD12:AD1048575,'2_folyoirat'!AG20:AG1048565,'3_tovabbi'!AE22:AE1048567)</f>
        <v>0</v>
      </c>
      <c r="D35" s="3" t="s">
        <v>41</v>
      </c>
      <c r="E35" s="19" t="s">
        <v>41</v>
      </c>
    </row>
    <row r="36" spans="1:5" ht="17" customHeight="1" x14ac:dyDescent="0.2">
      <c r="A36" s="83"/>
      <c r="B36" s="68" t="s">
        <v>33</v>
      </c>
      <c r="C36" s="50">
        <f>SUMIF('1_szakkonyv_monog'!P13:P1048576,"IGAZ",'1_szakkonyv_monog'!AD13:AD1048576)+SUMIF('2_folyoirat'!T21:T1048576, "IGAZ",'2_folyoirat'!AG21:AG1048576)+SUMIF('3_tovabbi'!Q23:Q1048576, "IGAZ",'3_tovabbi'!AE23:AE1048576)</f>
        <v>0</v>
      </c>
      <c r="D36" s="3" t="s">
        <v>41</v>
      </c>
      <c r="E36" s="19" t="s">
        <v>41</v>
      </c>
    </row>
    <row r="37" spans="1:5" ht="17" customHeight="1" x14ac:dyDescent="0.2">
      <c r="A37" s="81" t="s">
        <v>36</v>
      </c>
      <c r="B37" s="68" t="s">
        <v>35</v>
      </c>
      <c r="C37" s="50">
        <f>SUM('1_szakkonyv_monog'!X13:X1048576,'2_folyoirat'!AA21:AA1048576,'3_tovabbi'!Y23:Y1048576)</f>
        <v>0</v>
      </c>
      <c r="D37" s="3" t="s">
        <v>41</v>
      </c>
      <c r="E37" s="19" t="s">
        <v>41</v>
      </c>
    </row>
    <row r="38" spans="1:5" ht="17" customHeight="1" x14ac:dyDescent="0.2">
      <c r="A38" s="81"/>
      <c r="B38" s="68" t="s">
        <v>32</v>
      </c>
      <c r="C38" s="50">
        <f>SUM('1_szakkonyv_monog'!AE13:AE1048576,'2_folyoirat'!AH21:AH1048576,'3_tovabbi'!AF23:AF1048576)</f>
        <v>0</v>
      </c>
      <c r="D38" s="3" t="s">
        <v>41</v>
      </c>
      <c r="E38" s="19" t="s">
        <v>41</v>
      </c>
    </row>
    <row r="39" spans="1:5" ht="17" customHeight="1" x14ac:dyDescent="0.2">
      <c r="A39" s="81"/>
      <c r="B39" s="68" t="s">
        <v>33</v>
      </c>
      <c r="C39" s="63">
        <f>SUMIF('1_szakkonyv_monog'!P13:P1048576,"IGAZ",'1_szakkonyv_monog'!X13:X1048576)+SUMIF('2_folyoirat'!T21:T1048576, "IGAZ",'2_folyoirat'!AA21:AA1048576)+SUMIF('3_tovabbi'!Q23:Q1048576, "IGAZ",'3_tovabbi'!Y23:Y1048576)</f>
        <v>0</v>
      </c>
      <c r="D39" s="3" t="s">
        <v>41</v>
      </c>
      <c r="E39" s="19" t="s">
        <v>41</v>
      </c>
    </row>
    <row r="40" spans="1:5" ht="17" customHeight="1" x14ac:dyDescent="0.2">
      <c r="A40" s="82" t="s">
        <v>37</v>
      </c>
      <c r="B40" s="70" t="s">
        <v>35</v>
      </c>
      <c r="C40" s="65">
        <f>SUM(C34,C37)</f>
        <v>0</v>
      </c>
      <c r="D40" s="54">
        <v>40</v>
      </c>
      <c r="E40" s="38" t="str">
        <f>IF(C40&gt;=D40,"Igen","Nem")</f>
        <v>Nem</v>
      </c>
    </row>
    <row r="41" spans="1:5" ht="17" customHeight="1" x14ac:dyDescent="0.2">
      <c r="A41" s="82"/>
      <c r="B41" s="70" t="s">
        <v>32</v>
      </c>
      <c r="C41" s="65">
        <f>SUM(C35,C38)</f>
        <v>0</v>
      </c>
      <c r="D41" s="32" t="s">
        <v>41</v>
      </c>
      <c r="E41" s="58" t="s">
        <v>41</v>
      </c>
    </row>
    <row r="42" spans="1:5" ht="17" customHeight="1" x14ac:dyDescent="0.2">
      <c r="A42" s="82"/>
      <c r="B42" s="70" t="s">
        <v>33</v>
      </c>
      <c r="C42" s="65">
        <f>SUM(C36,C39)</f>
        <v>0</v>
      </c>
      <c r="D42" s="32" t="s">
        <v>41</v>
      </c>
      <c r="E42" s="58" t="s">
        <v>41</v>
      </c>
    </row>
    <row r="43" spans="1:5" ht="17" customHeight="1" x14ac:dyDescent="0.2">
      <c r="A43" s="83" t="s">
        <v>38</v>
      </c>
      <c r="B43" s="68" t="s">
        <v>35</v>
      </c>
      <c r="C43" s="63">
        <f>SUM('1_szakkonyv_monog'!X13:X1048576,'2_folyoirat'!AB21:AB1048576,'3_tovabbi'!Z23:Z1048576)</f>
        <v>0</v>
      </c>
      <c r="D43" s="3" t="s">
        <v>41</v>
      </c>
      <c r="E43" s="19" t="s">
        <v>41</v>
      </c>
    </row>
    <row r="44" spans="1:5" ht="17" customHeight="1" x14ac:dyDescent="0.2">
      <c r="A44" s="83"/>
      <c r="B44" s="68" t="s">
        <v>32</v>
      </c>
      <c r="C44" s="63">
        <f>SUM('1_szakkonyv_monog'!AF12:AF1048575,'2_folyoirat'!AI20:AI1048565,'3_tovabbi'!AG22:AG1048567)</f>
        <v>0</v>
      </c>
      <c r="D44" s="3" t="s">
        <v>41</v>
      </c>
      <c r="E44" s="19" t="s">
        <v>41</v>
      </c>
    </row>
    <row r="45" spans="1:5" ht="17" customHeight="1" x14ac:dyDescent="0.2">
      <c r="A45" s="83"/>
      <c r="B45" s="68" t="s">
        <v>33</v>
      </c>
      <c r="C45" s="63">
        <f>SUMIF('1_szakkonyv_monog'!P13:P1048576,"IGAZ",'1_szakkonyv_monog'!Y13:Y1048576)+SUMIF('2_folyoirat'!T21:T1048576, "IGAZ",'2_folyoirat'!AB21:AB1048576)+SUMIF('3_tovabbi'!Q23:Q1048576, "IGAZ",'3_tovabbi'!Z23:Z1048576)</f>
        <v>0</v>
      </c>
      <c r="D45" s="3" t="s">
        <v>41</v>
      </c>
      <c r="E45" s="19" t="s">
        <v>41</v>
      </c>
    </row>
    <row r="46" spans="1:5" ht="17" customHeight="1" x14ac:dyDescent="0.2">
      <c r="A46" s="82" t="s">
        <v>44</v>
      </c>
      <c r="B46" s="52" t="s">
        <v>5</v>
      </c>
      <c r="C46" s="53">
        <f>SUM(C29,C31)</f>
        <v>0</v>
      </c>
      <c r="D46" s="54">
        <v>280</v>
      </c>
      <c r="E46" s="38" t="str">
        <f>IF(C46&gt;=D46,"Igen","Nem")</f>
        <v>Nem</v>
      </c>
    </row>
    <row r="47" spans="1:5" ht="17" customHeight="1" x14ac:dyDescent="0.2">
      <c r="A47" s="82"/>
      <c r="B47" s="52" t="s">
        <v>12</v>
      </c>
      <c r="C47" s="53">
        <f ca="1">SUM(C30,C32)</f>
        <v>0</v>
      </c>
      <c r="D47" s="32" t="s">
        <v>41</v>
      </c>
      <c r="E47" s="58" t="s">
        <v>41</v>
      </c>
    </row>
    <row r="48" spans="1:5" ht="17" customHeight="1" x14ac:dyDescent="0.2">
      <c r="A48" s="83" t="s">
        <v>45</v>
      </c>
      <c r="B48" s="84"/>
      <c r="C48" s="50" t="str">
        <f>CONCATENATE(INFO!B7," / ",INFO!B6)</f>
        <v xml:space="preserve"> / </v>
      </c>
      <c r="D48" s="3"/>
      <c r="E48" s="19"/>
    </row>
    <row r="49" spans="1:5" ht="17" customHeight="1" thickBot="1" x14ac:dyDescent="0.25">
      <c r="A49" s="79" t="s">
        <v>46</v>
      </c>
      <c r="B49" s="80"/>
      <c r="C49" s="60" t="str" cm="1">
        <f t="array" ref="C49">CONCATENATE(SUM(IF('4_hivatkozasok'!C26:C848="Tudományos",1,0))-SUM(IF('4_hivatkozasok'!L26:L848=1,1,0))," / ",COUNTA('4_hivatkozasok'!A26:A848))</f>
        <v>0 / 0</v>
      </c>
      <c r="D49" s="61"/>
      <c r="E49" s="21"/>
    </row>
  </sheetData>
  <mergeCells count="21">
    <mergeCell ref="A3:E3"/>
    <mergeCell ref="A25:A26"/>
    <mergeCell ref="A27:A28"/>
    <mergeCell ref="A29:A30"/>
    <mergeCell ref="A31:A33"/>
    <mergeCell ref="A7:A8"/>
    <mergeCell ref="A9:A10"/>
    <mergeCell ref="A11:A12"/>
    <mergeCell ref="A13:A14"/>
    <mergeCell ref="A34:A36"/>
    <mergeCell ref="A15:A16"/>
    <mergeCell ref="A17:A18"/>
    <mergeCell ref="A19:A20"/>
    <mergeCell ref="A21:A22"/>
    <mergeCell ref="A23:A24"/>
    <mergeCell ref="A49:B49"/>
    <mergeCell ref="A37:A39"/>
    <mergeCell ref="A40:A42"/>
    <mergeCell ref="A43:A45"/>
    <mergeCell ref="A46:A47"/>
    <mergeCell ref="A48:B48"/>
  </mergeCells>
  <conditionalFormatting sqref="E5">
    <cfRule type="expression" dxfId="33" priority="11">
      <formula>E5="Igen"</formula>
    </cfRule>
    <cfRule type="expression" dxfId="32" priority="12">
      <formula>E5="Nem"</formula>
    </cfRule>
  </conditionalFormatting>
  <conditionalFormatting sqref="E7">
    <cfRule type="expression" dxfId="31" priority="13" stopIfTrue="1">
      <formula>E7="Igen"</formula>
    </cfRule>
    <cfRule type="expression" dxfId="30" priority="14">
      <formula>E7="Nem"</formula>
    </cfRule>
  </conditionalFormatting>
  <conditionalFormatting sqref="E9">
    <cfRule type="expression" dxfId="29" priority="9" stopIfTrue="1">
      <formula>E9="Igen"</formula>
    </cfRule>
    <cfRule type="expression" dxfId="28" priority="10">
      <formula>E9="Nem"</formula>
    </cfRule>
  </conditionalFormatting>
  <conditionalFormatting sqref="E15">
    <cfRule type="expression" dxfId="27" priority="7">
      <formula>E15="Igen"</formula>
    </cfRule>
    <cfRule type="expression" dxfId="26" priority="8">
      <formula>E15="Nem"</formula>
    </cfRule>
  </conditionalFormatting>
  <conditionalFormatting sqref="E31">
    <cfRule type="expression" dxfId="25" priority="5">
      <formula>E31="Igen"</formula>
    </cfRule>
    <cfRule type="expression" dxfId="24" priority="6">
      <formula>E31="Nem"</formula>
    </cfRule>
  </conditionalFormatting>
  <conditionalFormatting sqref="E40">
    <cfRule type="expression" dxfId="23" priority="3">
      <formula>E40="Igen"</formula>
    </cfRule>
    <cfRule type="expression" dxfId="22" priority="4">
      <formula>E40="Nem"</formula>
    </cfRule>
  </conditionalFormatting>
  <conditionalFormatting sqref="E46">
    <cfRule type="expression" dxfId="21" priority="1">
      <formula>E46="Igen"</formula>
    </cfRule>
    <cfRule type="expression" dxfId="20" priority="2">
      <formula>E46="Nem"</formula>
    </cfRule>
  </conditionalFormatting>
  <hyperlinks>
    <hyperlink ref="A1" r:id="rId1" xr:uid="{6289D15F-4242-B247-A147-C63468E70492}"/>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74908-67D8-7244-904B-E66648CD001D}">
  <dimension ref="A1:AO12"/>
  <sheetViews>
    <sheetView zoomScale="85" zoomScaleNormal="80" workbookViewId="0">
      <selection sqref="A1:C1"/>
    </sheetView>
  </sheetViews>
  <sheetFormatPr baseColWidth="10" defaultRowHeight="16" x14ac:dyDescent="0.2"/>
  <cols>
    <col min="1" max="1" width="74" customWidth="1"/>
    <col min="2" max="5" width="14.5" customWidth="1"/>
  </cols>
  <sheetData>
    <row r="1" spans="1:41" ht="19" customHeight="1" x14ac:dyDescent="0.25">
      <c r="A1" s="113" t="s">
        <v>8</v>
      </c>
      <c r="B1" s="114"/>
      <c r="C1" s="115"/>
      <c r="D1" s="17" t="s">
        <v>3</v>
      </c>
      <c r="E1" s="18" t="s">
        <v>6</v>
      </c>
      <c r="G1" s="104" t="s">
        <v>112</v>
      </c>
      <c r="H1" s="105"/>
      <c r="I1" s="105"/>
      <c r="J1" s="105"/>
      <c r="K1" s="106"/>
      <c r="M1" s="95" t="s">
        <v>113</v>
      </c>
      <c r="N1" s="96"/>
      <c r="O1" s="96"/>
      <c r="P1" s="96"/>
      <c r="Q1" s="96"/>
      <c r="R1" s="96"/>
      <c r="S1" s="96"/>
      <c r="T1" s="96"/>
      <c r="U1" s="96"/>
      <c r="V1" s="96"/>
      <c r="W1" s="96"/>
      <c r="X1" s="97"/>
      <c r="Y1" s="78"/>
      <c r="Z1" s="95" t="s">
        <v>114</v>
      </c>
      <c r="AA1" s="96"/>
      <c r="AB1" s="96"/>
      <c r="AC1" s="96"/>
      <c r="AD1" s="96"/>
      <c r="AE1" s="96"/>
      <c r="AF1" s="96"/>
      <c r="AG1" s="96"/>
      <c r="AH1" s="96"/>
      <c r="AI1" s="97"/>
      <c r="AJ1" s="77"/>
      <c r="AL1" s="77"/>
      <c r="AM1" s="77"/>
      <c r="AN1" s="77"/>
      <c r="AO1" s="77"/>
    </row>
    <row r="2" spans="1:41" ht="17" thickBot="1" x14ac:dyDescent="0.25">
      <c r="A2" s="5" t="s">
        <v>4</v>
      </c>
      <c r="B2" s="6" t="s">
        <v>5</v>
      </c>
      <c r="C2" s="23">
        <f>SUM(C7)</f>
        <v>0</v>
      </c>
      <c r="D2" s="20">
        <v>40</v>
      </c>
      <c r="E2" s="21" t="str">
        <f>IF(C2&gt;=D2,"Igen","Nem")</f>
        <v>Nem</v>
      </c>
      <c r="G2" s="107"/>
      <c r="H2" s="108"/>
      <c r="I2" s="108"/>
      <c r="J2" s="108"/>
      <c r="K2" s="109"/>
      <c r="L2" s="77"/>
      <c r="M2" s="98"/>
      <c r="N2" s="99"/>
      <c r="O2" s="99"/>
      <c r="P2" s="99"/>
      <c r="Q2" s="99"/>
      <c r="R2" s="99"/>
      <c r="S2" s="99"/>
      <c r="T2" s="99"/>
      <c r="U2" s="99"/>
      <c r="V2" s="99"/>
      <c r="W2" s="99"/>
      <c r="X2" s="100"/>
      <c r="Y2" s="78"/>
      <c r="Z2" s="98"/>
      <c r="AA2" s="99"/>
      <c r="AB2" s="99"/>
      <c r="AC2" s="99"/>
      <c r="AD2" s="99"/>
      <c r="AE2" s="99"/>
      <c r="AF2" s="99"/>
      <c r="AG2" s="99"/>
      <c r="AH2" s="99"/>
      <c r="AI2" s="100"/>
      <c r="AJ2" s="77"/>
      <c r="AK2" s="77"/>
      <c r="AL2" s="77"/>
      <c r="AM2" s="77"/>
      <c r="AN2" s="77"/>
      <c r="AO2" s="77"/>
    </row>
    <row r="3" spans="1:41" x14ac:dyDescent="0.2">
      <c r="G3" s="107"/>
      <c r="H3" s="108"/>
      <c r="I3" s="108"/>
      <c r="J3" s="108"/>
      <c r="K3" s="109"/>
      <c r="L3" s="77"/>
      <c r="M3" s="98"/>
      <c r="N3" s="99"/>
      <c r="O3" s="99"/>
      <c r="P3" s="99"/>
      <c r="Q3" s="99"/>
      <c r="R3" s="99"/>
      <c r="S3" s="99"/>
      <c r="T3" s="99"/>
      <c r="U3" s="99"/>
      <c r="V3" s="99"/>
      <c r="W3" s="99"/>
      <c r="X3" s="100"/>
      <c r="Y3" s="78"/>
      <c r="Z3" s="98"/>
      <c r="AA3" s="99"/>
      <c r="AB3" s="99"/>
      <c r="AC3" s="99"/>
      <c r="AD3" s="99"/>
      <c r="AE3" s="99"/>
      <c r="AF3" s="99"/>
      <c r="AG3" s="99"/>
      <c r="AH3" s="99"/>
      <c r="AI3" s="100"/>
      <c r="AJ3" s="77"/>
      <c r="AK3" s="77"/>
      <c r="AL3" s="77"/>
      <c r="AM3" s="77"/>
      <c r="AN3" s="77"/>
      <c r="AO3" s="77"/>
    </row>
    <row r="4" spans="1:41" ht="17" thickBot="1" x14ac:dyDescent="0.25">
      <c r="G4" s="107"/>
      <c r="H4" s="108"/>
      <c r="I4" s="108"/>
      <c r="J4" s="108"/>
      <c r="K4" s="109"/>
      <c r="L4" s="77"/>
      <c r="M4" s="98"/>
      <c r="N4" s="99"/>
      <c r="O4" s="99"/>
      <c r="P4" s="99"/>
      <c r="Q4" s="99"/>
      <c r="R4" s="99"/>
      <c r="S4" s="99"/>
      <c r="T4" s="99"/>
      <c r="U4" s="99"/>
      <c r="V4" s="99"/>
      <c r="W4" s="99"/>
      <c r="X4" s="100"/>
      <c r="Y4" s="78"/>
      <c r="Z4" s="98"/>
      <c r="AA4" s="99"/>
      <c r="AB4" s="99"/>
      <c r="AC4" s="99"/>
      <c r="AD4" s="99"/>
      <c r="AE4" s="99"/>
      <c r="AF4" s="99"/>
      <c r="AG4" s="99"/>
      <c r="AH4" s="99"/>
      <c r="AI4" s="100"/>
      <c r="AJ4" s="77"/>
      <c r="AK4" s="77"/>
      <c r="AL4" s="77"/>
      <c r="AM4" s="77"/>
      <c r="AN4" s="77"/>
      <c r="AO4" s="77"/>
    </row>
    <row r="5" spans="1:41" ht="20" thickBot="1" x14ac:dyDescent="0.3">
      <c r="A5" s="92" t="s">
        <v>9</v>
      </c>
      <c r="B5" s="93"/>
      <c r="C5" s="93"/>
      <c r="D5" s="93"/>
      <c r="E5" s="94"/>
      <c r="G5" s="107"/>
      <c r="H5" s="108"/>
      <c r="I5" s="108"/>
      <c r="J5" s="108"/>
      <c r="K5" s="109"/>
      <c r="L5" s="77"/>
      <c r="M5" s="98"/>
      <c r="N5" s="99"/>
      <c r="O5" s="99"/>
      <c r="P5" s="99"/>
      <c r="Q5" s="99"/>
      <c r="R5" s="99"/>
      <c r="S5" s="99"/>
      <c r="T5" s="99"/>
      <c r="U5" s="99"/>
      <c r="V5" s="99"/>
      <c r="W5" s="99"/>
      <c r="X5" s="100"/>
      <c r="Y5" s="78"/>
      <c r="Z5" s="98"/>
      <c r="AA5" s="99"/>
      <c r="AB5" s="99"/>
      <c r="AC5" s="99"/>
      <c r="AD5" s="99"/>
      <c r="AE5" s="99"/>
      <c r="AF5" s="99"/>
      <c r="AG5" s="99"/>
      <c r="AH5" s="99"/>
      <c r="AI5" s="100"/>
      <c r="AJ5" s="77"/>
      <c r="AK5" s="77"/>
      <c r="AL5" s="77"/>
      <c r="AM5" s="77"/>
      <c r="AN5" s="77"/>
      <c r="AO5" s="77"/>
    </row>
    <row r="6" spans="1:41" x14ac:dyDescent="0.2">
      <c r="A6" s="1" t="s">
        <v>0</v>
      </c>
      <c r="B6" s="1" t="s">
        <v>1</v>
      </c>
      <c r="C6" s="1" t="s">
        <v>2</v>
      </c>
      <c r="D6" s="1" t="s">
        <v>3</v>
      </c>
      <c r="E6" s="1" t="s">
        <v>6</v>
      </c>
      <c r="G6" s="107"/>
      <c r="H6" s="108"/>
      <c r="I6" s="108"/>
      <c r="J6" s="108"/>
      <c r="K6" s="109"/>
      <c r="L6" s="77"/>
      <c r="M6" s="98"/>
      <c r="N6" s="99"/>
      <c r="O6" s="99"/>
      <c r="P6" s="99"/>
      <c r="Q6" s="99"/>
      <c r="R6" s="99"/>
      <c r="S6" s="99"/>
      <c r="T6" s="99"/>
      <c r="U6" s="99"/>
      <c r="V6" s="99"/>
      <c r="W6" s="99"/>
      <c r="X6" s="100"/>
      <c r="Y6" s="78"/>
      <c r="Z6" s="98"/>
      <c r="AA6" s="99"/>
      <c r="AB6" s="99"/>
      <c r="AC6" s="99"/>
      <c r="AD6" s="99"/>
      <c r="AE6" s="99"/>
      <c r="AF6" s="99"/>
      <c r="AG6" s="99"/>
      <c r="AH6" s="99"/>
      <c r="AI6" s="100"/>
      <c r="AJ6" s="77"/>
      <c r="AK6" s="77"/>
      <c r="AL6" s="77"/>
      <c r="AM6" s="77"/>
      <c r="AN6" s="77"/>
      <c r="AO6" s="77"/>
    </row>
    <row r="7" spans="1:41" ht="17" thickBot="1" x14ac:dyDescent="0.25">
      <c r="A7" s="2" t="s">
        <v>4</v>
      </c>
      <c r="B7" s="2" t="s">
        <v>5</v>
      </c>
      <c r="C7" s="3">
        <f>SUM(R13:R1048576)</f>
        <v>0</v>
      </c>
      <c r="D7" s="3">
        <v>40</v>
      </c>
      <c r="E7" s="3" t="str">
        <f>IF(C7&gt;=D7,"Igen","Nem")</f>
        <v>Nem</v>
      </c>
      <c r="G7" s="110"/>
      <c r="H7" s="111"/>
      <c r="I7" s="111"/>
      <c r="J7" s="111"/>
      <c r="K7" s="112"/>
      <c r="L7" s="77"/>
      <c r="M7" s="101"/>
      <c r="N7" s="102"/>
      <c r="O7" s="102"/>
      <c r="P7" s="102"/>
      <c r="Q7" s="102"/>
      <c r="R7" s="102"/>
      <c r="S7" s="102"/>
      <c r="T7" s="102"/>
      <c r="U7" s="102"/>
      <c r="V7" s="102"/>
      <c r="W7" s="102"/>
      <c r="X7" s="103"/>
      <c r="Y7" s="78"/>
      <c r="Z7" s="101"/>
      <c r="AA7" s="102"/>
      <c r="AB7" s="102"/>
      <c r="AC7" s="102"/>
      <c r="AD7" s="102"/>
      <c r="AE7" s="102"/>
      <c r="AF7" s="102"/>
      <c r="AG7" s="102"/>
      <c r="AH7" s="102"/>
      <c r="AI7" s="103"/>
      <c r="AJ7" s="77"/>
      <c r="AK7" s="77"/>
      <c r="AL7" s="77"/>
      <c r="AM7" s="77"/>
      <c r="AN7" s="77"/>
      <c r="AO7" s="77"/>
    </row>
    <row r="8" spans="1:41" x14ac:dyDescent="0.2">
      <c r="A8" t="s">
        <v>7</v>
      </c>
      <c r="B8" t="s">
        <v>5</v>
      </c>
      <c r="C8" s="3">
        <f>SUMIF(H13:H1048576,"&lt;&gt;Magyar",R13:R1048576)</f>
        <v>0</v>
      </c>
      <c r="D8" s="3"/>
      <c r="E8" s="3"/>
    </row>
    <row r="10" spans="1:41" ht="17" thickBot="1" x14ac:dyDescent="0.25"/>
    <row r="11" spans="1:41" ht="20" thickBot="1" x14ac:dyDescent="0.3">
      <c r="A11" s="92" t="s">
        <v>10</v>
      </c>
      <c r="B11" s="93"/>
      <c r="C11" s="93"/>
      <c r="D11" s="93"/>
      <c r="E11" s="93"/>
      <c r="F11" s="93"/>
      <c r="G11" s="93"/>
      <c r="H11" s="93"/>
      <c r="I11" s="93"/>
      <c r="J11" s="93"/>
      <c r="K11" s="93"/>
      <c r="L11" s="93"/>
      <c r="M11" s="93"/>
      <c r="N11" s="93"/>
      <c r="O11" s="93"/>
      <c r="P11" s="93"/>
      <c r="Q11" s="93"/>
      <c r="R11" s="93"/>
      <c r="S11" s="93"/>
      <c r="T11" s="93"/>
      <c r="U11" s="93"/>
      <c r="V11" s="93"/>
      <c r="W11" s="93"/>
      <c r="X11" s="93"/>
      <c r="Y11" s="93"/>
      <c r="Z11" s="93"/>
      <c r="AA11" s="93"/>
      <c r="AB11" s="93"/>
      <c r="AC11" s="93"/>
      <c r="AD11" s="93"/>
      <c r="AE11" s="93"/>
      <c r="AF11" s="93"/>
      <c r="AG11" s="93"/>
      <c r="AH11" s="93"/>
      <c r="AI11" s="94"/>
    </row>
    <row r="12" spans="1:41" x14ac:dyDescent="0.2">
      <c r="A12" s="1" t="s">
        <v>57</v>
      </c>
      <c r="B12" s="1" t="s">
        <v>18</v>
      </c>
      <c r="C12" s="1" t="s">
        <v>59</v>
      </c>
      <c r="D12" s="1" t="s">
        <v>58</v>
      </c>
      <c r="E12" s="1" t="s">
        <v>60</v>
      </c>
      <c r="F12" s="1" t="s">
        <v>61</v>
      </c>
      <c r="G12" s="1" t="s">
        <v>62</v>
      </c>
      <c r="H12" s="1" t="s">
        <v>63</v>
      </c>
      <c r="I12" s="1" t="s">
        <v>64</v>
      </c>
      <c r="J12" s="1" t="s">
        <v>65</v>
      </c>
      <c r="K12" s="1" t="s">
        <v>66</v>
      </c>
      <c r="L12" s="76" t="s">
        <v>110</v>
      </c>
      <c r="M12" s="76" t="s">
        <v>111</v>
      </c>
      <c r="N12" s="1" t="s">
        <v>69</v>
      </c>
      <c r="O12" s="1" t="s">
        <v>70</v>
      </c>
      <c r="P12" s="1" t="s">
        <v>71</v>
      </c>
      <c r="Q12" s="1" t="s">
        <v>72</v>
      </c>
      <c r="R12" s="1" t="s">
        <v>73</v>
      </c>
      <c r="S12" s="1" t="s">
        <v>74</v>
      </c>
      <c r="T12" s="33" t="s">
        <v>75</v>
      </c>
      <c r="U12" s="33" t="s">
        <v>76</v>
      </c>
      <c r="V12" s="33" t="s">
        <v>77</v>
      </c>
      <c r="W12" s="33" t="s">
        <v>78</v>
      </c>
      <c r="X12" s="33" t="s">
        <v>79</v>
      </c>
      <c r="Y12" s="33" t="s">
        <v>80</v>
      </c>
      <c r="Z12" s="73" t="s">
        <v>81</v>
      </c>
      <c r="AA12" s="33" t="s">
        <v>82</v>
      </c>
      <c r="AB12" s="33" t="s">
        <v>83</v>
      </c>
      <c r="AC12" s="33" t="s">
        <v>84</v>
      </c>
      <c r="AD12" s="33" t="s">
        <v>85</v>
      </c>
      <c r="AE12" s="33" t="s">
        <v>86</v>
      </c>
      <c r="AF12" s="33" t="s">
        <v>87</v>
      </c>
      <c r="AG12" s="74" t="s">
        <v>107</v>
      </c>
      <c r="AH12" s="1" t="s">
        <v>108</v>
      </c>
      <c r="AI12" s="1" t="s">
        <v>109</v>
      </c>
    </row>
  </sheetData>
  <mergeCells count="6">
    <mergeCell ref="A11:AI11"/>
    <mergeCell ref="Z1:AI7"/>
    <mergeCell ref="G1:K7"/>
    <mergeCell ref="M1:X7"/>
    <mergeCell ref="A1:C1"/>
    <mergeCell ref="A5:E5"/>
  </mergeCells>
  <conditionalFormatting sqref="E2">
    <cfRule type="expression" dxfId="19" priority="3">
      <formula>E2="Nem"</formula>
    </cfRule>
    <cfRule type="expression" dxfId="18" priority="4">
      <formula>E2="Igen"</formula>
    </cfRule>
  </conditionalFormatting>
  <conditionalFormatting sqref="E7">
    <cfRule type="expression" dxfId="17" priority="1">
      <formula>E7="Nem"</formula>
    </cfRule>
    <cfRule type="expression" dxfId="16" priority="2">
      <formula>E7="Igen"</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68959-9EA0-9A49-94BD-7B9672D5E312}">
  <dimension ref="A1:AK20"/>
  <sheetViews>
    <sheetView zoomScale="80" zoomScaleNormal="80" workbookViewId="0">
      <selection sqref="A1:C1"/>
    </sheetView>
  </sheetViews>
  <sheetFormatPr baseColWidth="10" defaultRowHeight="16" x14ac:dyDescent="0.2"/>
  <cols>
    <col min="1" max="1" width="97" bestFit="1" customWidth="1"/>
  </cols>
  <sheetData>
    <row r="1" spans="1:13" ht="19" customHeight="1" x14ac:dyDescent="0.25">
      <c r="A1" s="113" t="s">
        <v>8</v>
      </c>
      <c r="B1" s="114"/>
      <c r="C1" s="115"/>
      <c r="D1" s="17" t="s">
        <v>3</v>
      </c>
      <c r="E1" s="18" t="s">
        <v>6</v>
      </c>
      <c r="G1" s="118" t="s">
        <v>115</v>
      </c>
      <c r="H1" s="118"/>
      <c r="I1" s="118"/>
      <c r="J1" s="118"/>
      <c r="K1" s="118"/>
      <c r="L1" s="118"/>
      <c r="M1" s="118"/>
    </row>
    <row r="2" spans="1:13" x14ac:dyDescent="0.2">
      <c r="A2" s="8"/>
      <c r="B2" s="2"/>
      <c r="C2" s="75"/>
      <c r="D2" s="16"/>
      <c r="E2" s="19"/>
      <c r="G2" s="118"/>
      <c r="H2" s="118"/>
      <c r="I2" s="118"/>
      <c r="J2" s="118"/>
      <c r="K2" s="118"/>
      <c r="L2" s="118"/>
      <c r="M2" s="118"/>
    </row>
    <row r="3" spans="1:13" x14ac:dyDescent="0.2">
      <c r="A3" s="8" t="s">
        <v>16</v>
      </c>
      <c r="B3" s="2" t="s">
        <v>5</v>
      </c>
      <c r="C3" s="22">
        <f>C9</f>
        <v>0</v>
      </c>
      <c r="D3" s="16">
        <v>120</v>
      </c>
      <c r="E3" s="19" t="str">
        <f>IF(C3&gt;=D3,"Igen","Nem")</f>
        <v>Nem</v>
      </c>
    </row>
    <row r="4" spans="1:13" ht="17" thickBot="1" x14ac:dyDescent="0.25">
      <c r="A4" s="9" t="s">
        <v>17</v>
      </c>
      <c r="B4" s="6" t="s">
        <v>5</v>
      </c>
      <c r="C4" s="23">
        <f>SUM(C2:C3)</f>
        <v>0</v>
      </c>
      <c r="D4" s="20">
        <v>180</v>
      </c>
      <c r="E4" s="21" t="str">
        <f>IF(C4&gt;=D4,"Igen","Nem")</f>
        <v>Nem</v>
      </c>
    </row>
    <row r="6" spans="1:13" ht="17" thickBot="1" x14ac:dyDescent="0.25"/>
    <row r="7" spans="1:13" ht="20" thickBot="1" x14ac:dyDescent="0.3">
      <c r="A7" s="92" t="s">
        <v>9</v>
      </c>
      <c r="B7" s="93"/>
      <c r="C7" s="93"/>
      <c r="D7" s="93"/>
      <c r="E7" s="94"/>
    </row>
    <row r="8" spans="1:13" x14ac:dyDescent="0.2">
      <c r="A8" s="1" t="s">
        <v>0</v>
      </c>
      <c r="B8" s="1" t="s">
        <v>1</v>
      </c>
      <c r="C8" s="1" t="s">
        <v>2</v>
      </c>
      <c r="D8" s="1" t="s">
        <v>3</v>
      </c>
      <c r="E8" s="1" t="s">
        <v>6</v>
      </c>
    </row>
    <row r="9" spans="1:13" x14ac:dyDescent="0.2">
      <c r="A9" s="116" t="s">
        <v>11</v>
      </c>
      <c r="B9" s="2" t="s">
        <v>5</v>
      </c>
      <c r="C9" s="15">
        <f>SUM(U21:U1048576)</f>
        <v>0</v>
      </c>
      <c r="D9" s="3">
        <v>120</v>
      </c>
      <c r="E9" s="3" t="str">
        <f>IF(C9&gt;=D9,"Igen","Nem")</f>
        <v>Nem</v>
      </c>
    </row>
    <row r="10" spans="1:13" x14ac:dyDescent="0.2">
      <c r="A10" s="117"/>
      <c r="B10" s="2" t="s">
        <v>12</v>
      </c>
      <c r="C10" s="15">
        <f>SUMIF(T21:T1048576,"IGAZ",U21:U1048576)</f>
        <v>0</v>
      </c>
      <c r="D10" s="3"/>
      <c r="E10" s="3"/>
    </row>
    <row r="11" spans="1:13" x14ac:dyDescent="0.2">
      <c r="A11" s="84" t="s">
        <v>13</v>
      </c>
      <c r="B11" s="7" t="s">
        <v>5</v>
      </c>
      <c r="C11" s="15">
        <f>SUMIF(Q21:Q1048576,"IGAZ",U21:U1048576)</f>
        <v>0</v>
      </c>
      <c r="D11" s="3">
        <v>35</v>
      </c>
      <c r="E11" s="3" t="str">
        <f>IF(C11&gt;=D11,"Igen","Nem")</f>
        <v>Nem</v>
      </c>
    </row>
    <row r="12" spans="1:13" x14ac:dyDescent="0.2">
      <c r="A12" s="84"/>
      <c r="B12" s="7" t="s">
        <v>12</v>
      </c>
      <c r="C12" s="15">
        <f>SUMIFS(U21:U1048576,Q21:Q1048576, "IGAZ",T21:T1048576,"IGAZ")</f>
        <v>0</v>
      </c>
      <c r="D12" s="3"/>
      <c r="E12" s="3"/>
    </row>
    <row r="13" spans="1:13" x14ac:dyDescent="0.2">
      <c r="A13" s="84" t="s">
        <v>14</v>
      </c>
      <c r="B13" s="7" t="s">
        <v>5</v>
      </c>
      <c r="C13" s="15">
        <f>SUMIFS(U21:U1048576,P21:P1048576,"A",Q21:Q1048576,"IGAZ") + SUMIFS(U21:U1048576,P21:P1048576,"B",Q21:Q1048576,"IGAZ")</f>
        <v>0</v>
      </c>
      <c r="D13" s="3"/>
      <c r="E13" s="3"/>
    </row>
    <row r="14" spans="1:13" x14ac:dyDescent="0.2">
      <c r="A14" s="84"/>
      <c r="B14" s="7" t="s">
        <v>12</v>
      </c>
      <c r="C14" s="15">
        <f>SUMIFS(U21:U1048576,P21:P1048576,"A",Q21:Q1048576,"IGAZ",T21:T1048576,"IGAZ") + SUMIFS(U21:U1048576,P21:P1048576,"B",Q21:Q1048576,"IGAZ",T21:T1048576,"IGAZ")</f>
        <v>0</v>
      </c>
      <c r="D14" s="3"/>
      <c r="E14" s="3"/>
    </row>
    <row r="15" spans="1:13" x14ac:dyDescent="0.2">
      <c r="A15" s="84" t="s">
        <v>15</v>
      </c>
      <c r="B15" s="7" t="s">
        <v>5</v>
      </c>
      <c r="C15" s="15">
        <f>SUMIF(P21:P1048576,"",U21:U1048576)</f>
        <v>0</v>
      </c>
      <c r="D15" s="3"/>
      <c r="E15" s="3"/>
    </row>
    <row r="16" spans="1:13" x14ac:dyDescent="0.2">
      <c r="A16" s="84"/>
      <c r="B16" s="7" t="s">
        <v>12</v>
      </c>
      <c r="C16" s="15">
        <f>SUMIFS(U21:U1048576,P21:P1048576, "",T21:T1048576,"IGAZ")</f>
        <v>0</v>
      </c>
      <c r="D16" s="3"/>
      <c r="E16" s="3"/>
    </row>
    <row r="18" spans="1:37" ht="17" thickBot="1" x14ac:dyDescent="0.25"/>
    <row r="19" spans="1:37" ht="20" thickBot="1" x14ac:dyDescent="0.3">
      <c r="A19" s="92" t="s">
        <v>10</v>
      </c>
      <c r="B19" s="93"/>
      <c r="C19" s="93"/>
      <c r="D19" s="93"/>
      <c r="E19" s="93"/>
      <c r="F19" s="93"/>
      <c r="G19" s="93"/>
      <c r="H19" s="93"/>
      <c r="I19" s="93"/>
      <c r="J19" s="93"/>
      <c r="K19" s="93"/>
      <c r="L19" s="93"/>
      <c r="M19" s="93"/>
      <c r="N19" s="93"/>
      <c r="O19" s="93"/>
      <c r="P19" s="93"/>
      <c r="Q19" s="93"/>
      <c r="R19" s="93"/>
      <c r="S19" s="93"/>
      <c r="T19" s="93"/>
      <c r="U19" s="93"/>
      <c r="V19" s="93"/>
      <c r="W19" s="93"/>
      <c r="X19" s="93"/>
      <c r="Y19" s="93"/>
      <c r="Z19" s="93"/>
      <c r="AA19" s="93"/>
      <c r="AB19" s="93"/>
      <c r="AC19" s="93"/>
      <c r="AD19" s="93"/>
      <c r="AE19" s="93"/>
      <c r="AF19" s="93"/>
      <c r="AG19" s="93"/>
      <c r="AH19" s="93"/>
      <c r="AI19" s="93"/>
      <c r="AJ19" s="93"/>
      <c r="AK19" s="94"/>
    </row>
    <row r="20" spans="1:37" x14ac:dyDescent="0.2">
      <c r="A20" s="1" t="s">
        <v>57</v>
      </c>
      <c r="B20" s="1" t="s">
        <v>18</v>
      </c>
      <c r="C20" s="1" t="s">
        <v>59</v>
      </c>
      <c r="D20" s="1" t="s">
        <v>58</v>
      </c>
      <c r="E20" s="1" t="s">
        <v>60</v>
      </c>
      <c r="F20" s="1" t="s">
        <v>61</v>
      </c>
      <c r="G20" s="1" t="s">
        <v>62</v>
      </c>
      <c r="H20" s="1" t="s">
        <v>88</v>
      </c>
      <c r="I20" s="1" t="s">
        <v>89</v>
      </c>
      <c r="J20" s="1" t="s">
        <v>90</v>
      </c>
      <c r="K20" s="1" t="s">
        <v>91</v>
      </c>
      <c r="L20" s="1" t="s">
        <v>63</v>
      </c>
      <c r="M20" s="1" t="s">
        <v>64</v>
      </c>
      <c r="N20" s="1" t="s">
        <v>65</v>
      </c>
      <c r="O20" s="1" t="s">
        <v>66</v>
      </c>
      <c r="P20" s="1" t="s">
        <v>67</v>
      </c>
      <c r="Q20" s="1" t="s">
        <v>68</v>
      </c>
      <c r="R20" s="1" t="s">
        <v>69</v>
      </c>
      <c r="S20" s="1" t="s">
        <v>70</v>
      </c>
      <c r="T20" s="1" t="s">
        <v>71</v>
      </c>
      <c r="U20" s="1" t="s">
        <v>73</v>
      </c>
      <c r="V20" s="1" t="s">
        <v>74</v>
      </c>
      <c r="W20" s="33" t="s">
        <v>75</v>
      </c>
      <c r="X20" s="33" t="s">
        <v>76</v>
      </c>
      <c r="Y20" s="33" t="s">
        <v>77</v>
      </c>
      <c r="Z20" s="33" t="s">
        <v>78</v>
      </c>
      <c r="AA20" s="33" t="s">
        <v>79</v>
      </c>
      <c r="AB20" s="33" t="s">
        <v>80</v>
      </c>
      <c r="AC20" s="73" t="s">
        <v>81</v>
      </c>
      <c r="AD20" s="33" t="s">
        <v>82</v>
      </c>
      <c r="AE20" s="33" t="s">
        <v>83</v>
      </c>
      <c r="AF20" s="33" t="s">
        <v>84</v>
      </c>
      <c r="AG20" s="33" t="s">
        <v>85</v>
      </c>
      <c r="AH20" s="33" t="s">
        <v>86</v>
      </c>
      <c r="AI20" s="33" t="s">
        <v>87</v>
      </c>
      <c r="AJ20" s="74" t="s">
        <v>107</v>
      </c>
      <c r="AK20" s="1" t="s">
        <v>108</v>
      </c>
    </row>
  </sheetData>
  <mergeCells count="8">
    <mergeCell ref="A19:AK19"/>
    <mergeCell ref="A15:A16"/>
    <mergeCell ref="A7:E7"/>
    <mergeCell ref="A1:C1"/>
    <mergeCell ref="A9:A10"/>
    <mergeCell ref="A11:A12"/>
    <mergeCell ref="A13:A14"/>
    <mergeCell ref="G1:M2"/>
  </mergeCells>
  <conditionalFormatting sqref="E2">
    <cfRule type="expression" dxfId="15" priority="9">
      <formula>E2="Igen"</formula>
    </cfRule>
    <cfRule type="expression" dxfId="14" priority="10">
      <formula>E2="Nem"</formula>
    </cfRule>
  </conditionalFormatting>
  <conditionalFormatting sqref="E3">
    <cfRule type="expression" dxfId="13" priority="8" stopIfTrue="1">
      <formula>E3="Igen"</formula>
    </cfRule>
    <cfRule type="expression" dxfId="12" priority="11" stopIfTrue="1">
      <formula>E3="Nem"</formula>
    </cfRule>
  </conditionalFormatting>
  <conditionalFormatting sqref="E4">
    <cfRule type="expression" dxfId="11" priority="6">
      <formula>E4="Igen"</formula>
    </cfRule>
    <cfRule type="expression" dxfId="10" priority="7">
      <formula>E4="Nem"</formula>
    </cfRule>
  </conditionalFormatting>
  <conditionalFormatting sqref="E9">
    <cfRule type="expression" dxfId="9" priority="3">
      <formula>E9="Igen"</formula>
    </cfRule>
    <cfRule type="expression" dxfId="8" priority="4" stopIfTrue="1">
      <formula>E9="Nem"</formula>
    </cfRule>
  </conditionalFormatting>
  <conditionalFormatting sqref="E11">
    <cfRule type="expression" dxfId="7" priority="1">
      <formula>E11="Igen"</formula>
    </cfRule>
    <cfRule type="expression" dxfId="6" priority="2">
      <formula>E11="Nem"</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50383-A612-694C-A11E-B1EEA64FB5E0}">
  <dimension ref="A1:AI22"/>
  <sheetViews>
    <sheetView zoomScale="80" zoomScaleNormal="80" workbookViewId="0">
      <selection sqref="A1:C1"/>
    </sheetView>
  </sheetViews>
  <sheetFormatPr baseColWidth="10" defaultRowHeight="16" x14ac:dyDescent="0.2"/>
  <cols>
    <col min="1" max="1" width="67.33203125" customWidth="1"/>
    <col min="20" max="20" width="10.83203125" style="25"/>
  </cols>
  <sheetData>
    <row r="1" spans="1:20" ht="19" customHeight="1" x14ac:dyDescent="0.25">
      <c r="A1" s="113" t="s">
        <v>8</v>
      </c>
      <c r="B1" s="114"/>
      <c r="C1" s="119"/>
      <c r="G1" s="118" t="s">
        <v>116</v>
      </c>
      <c r="H1" s="118"/>
      <c r="I1" s="118"/>
      <c r="J1" s="118"/>
      <c r="K1" s="118"/>
      <c r="L1" s="118"/>
      <c r="T1"/>
    </row>
    <row r="2" spans="1:20" ht="17" thickBot="1" x14ac:dyDescent="0.25">
      <c r="A2" s="11" t="s">
        <v>23</v>
      </c>
      <c r="B2" s="12" t="s">
        <v>5</v>
      </c>
      <c r="C2" s="13">
        <f>C7</f>
        <v>0</v>
      </c>
      <c r="G2" s="118"/>
      <c r="H2" s="118"/>
      <c r="I2" s="118"/>
      <c r="J2" s="118"/>
      <c r="K2" s="118"/>
      <c r="L2" s="118"/>
      <c r="T2"/>
    </row>
    <row r="3" spans="1:20" x14ac:dyDescent="0.2">
      <c r="A3" s="4"/>
      <c r="T3"/>
    </row>
    <row r="4" spans="1:20" ht="17" thickBot="1" x14ac:dyDescent="0.25">
      <c r="A4" s="4"/>
      <c r="T4"/>
    </row>
    <row r="5" spans="1:20" ht="20" thickBot="1" x14ac:dyDescent="0.3">
      <c r="A5" s="92" t="s">
        <v>9</v>
      </c>
      <c r="B5" s="93"/>
      <c r="C5" s="93"/>
      <c r="D5" s="93"/>
      <c r="E5" s="94"/>
      <c r="T5"/>
    </row>
    <row r="6" spans="1:20" x14ac:dyDescent="0.2">
      <c r="A6" s="1" t="s">
        <v>0</v>
      </c>
      <c r="B6" s="1" t="s">
        <v>1</v>
      </c>
      <c r="C6" s="1" t="s">
        <v>2</v>
      </c>
      <c r="D6" s="1" t="s">
        <v>3</v>
      </c>
      <c r="E6" s="1" t="s">
        <v>6</v>
      </c>
      <c r="T6"/>
    </row>
    <row r="7" spans="1:20" x14ac:dyDescent="0.2">
      <c r="A7" s="120" t="s">
        <v>23</v>
      </c>
      <c r="B7" s="2" t="s">
        <v>5</v>
      </c>
      <c r="C7" s="15">
        <f>SUM(C9,C11,C13,C15)</f>
        <v>0</v>
      </c>
      <c r="D7" s="3"/>
      <c r="E7" s="3"/>
      <c r="T7"/>
    </row>
    <row r="8" spans="1:20" x14ac:dyDescent="0.2">
      <c r="A8" s="84"/>
      <c r="B8" s="2" t="s">
        <v>12</v>
      </c>
      <c r="C8" s="15">
        <f>SUM(C10,C12,C14,C16)</f>
        <v>0</v>
      </c>
      <c r="D8" s="3"/>
      <c r="E8" s="3"/>
      <c r="T8"/>
    </row>
    <row r="9" spans="1:20" x14ac:dyDescent="0.2">
      <c r="A9" s="84" t="s">
        <v>24</v>
      </c>
      <c r="B9" s="7" t="s">
        <v>5</v>
      </c>
      <c r="C9" s="15">
        <f>SUMIF(T23:T1048576,"3.1",S23:S1048576)</f>
        <v>0</v>
      </c>
      <c r="D9" s="3"/>
      <c r="E9" s="3"/>
      <c r="T9"/>
    </row>
    <row r="10" spans="1:20" x14ac:dyDescent="0.2">
      <c r="A10" s="84"/>
      <c r="B10" s="7" t="s">
        <v>12</v>
      </c>
      <c r="C10" s="15">
        <f>SUMIFS(S23:S1048576,Q23:Q1048576, "IGAZ",T23:T1048576,"3.1")</f>
        <v>0</v>
      </c>
      <c r="D10" s="3"/>
      <c r="E10" s="3"/>
      <c r="T10"/>
    </row>
    <row r="11" spans="1:20" x14ac:dyDescent="0.2">
      <c r="A11" s="84" t="s">
        <v>25</v>
      </c>
      <c r="B11" s="7" t="s">
        <v>5</v>
      </c>
      <c r="C11" s="15">
        <f>SUMIF(T23:T1048576,"3.2",S23:S1048576)</f>
        <v>0</v>
      </c>
      <c r="D11" s="3"/>
      <c r="E11" s="3"/>
      <c r="T11"/>
    </row>
    <row r="12" spans="1:20" x14ac:dyDescent="0.2">
      <c r="A12" s="84"/>
      <c r="B12" s="7" t="s">
        <v>12</v>
      </c>
      <c r="C12" s="15">
        <f>SUMIFS(S23:S1048576,Q23:Q1048576, "IGAZ",T23:T1048576,"3.2")</f>
        <v>0</v>
      </c>
      <c r="D12" s="3"/>
      <c r="E12" s="3"/>
      <c r="T12"/>
    </row>
    <row r="13" spans="1:20" x14ac:dyDescent="0.2">
      <c r="A13" s="84" t="s">
        <v>26</v>
      </c>
      <c r="B13" s="7" t="s">
        <v>5</v>
      </c>
      <c r="C13" s="15">
        <f>SUMIF(T23:T1048576,"3.3",S23:S1048576)</f>
        <v>0</v>
      </c>
      <c r="D13" s="3"/>
      <c r="E13" s="3"/>
      <c r="T13"/>
    </row>
    <row r="14" spans="1:20" x14ac:dyDescent="0.2">
      <c r="A14" s="84"/>
      <c r="B14" s="7" t="s">
        <v>12</v>
      </c>
      <c r="C14" s="15">
        <f>SUMIFS(S23:S1048576,Q23:Q1048576, "IGAZ",T23:T1048576,"3.3")</f>
        <v>0</v>
      </c>
      <c r="D14" s="3"/>
      <c r="E14" s="3"/>
      <c r="T14"/>
    </row>
    <row r="15" spans="1:20" x14ac:dyDescent="0.2">
      <c r="A15" s="84" t="s">
        <v>27</v>
      </c>
      <c r="B15" s="7" t="s">
        <v>5</v>
      </c>
      <c r="C15" s="15">
        <f>SUMIF(T23:T1048576,"3.4",S23:S1048576)</f>
        <v>0</v>
      </c>
      <c r="D15" s="3"/>
      <c r="E15" s="3"/>
      <c r="T15"/>
    </row>
    <row r="16" spans="1:20" x14ac:dyDescent="0.2">
      <c r="A16" s="84"/>
      <c r="B16" s="7" t="s">
        <v>12</v>
      </c>
      <c r="C16" s="15">
        <f>SUMIFS(S23:S1048576,Q23:Q1048576, "IGAZ",T23:T1048576,"3.4")</f>
        <v>0</v>
      </c>
      <c r="D16" s="3"/>
      <c r="E16" s="3"/>
      <c r="T16"/>
    </row>
    <row r="17" spans="1:35" x14ac:dyDescent="0.2">
      <c r="A17" s="84" t="s">
        <v>28</v>
      </c>
      <c r="B17" s="7" t="s">
        <v>47</v>
      </c>
      <c r="C17" s="10" cm="1">
        <f t="array" ref="C17">SUM(IF(T23:T1048576="3.5",1,0))</f>
        <v>0</v>
      </c>
      <c r="D17" s="3"/>
      <c r="E17" s="3"/>
      <c r="T17"/>
    </row>
    <row r="18" spans="1:35" x14ac:dyDescent="0.2">
      <c r="A18" s="84"/>
      <c r="B18" s="7" t="s">
        <v>48</v>
      </c>
      <c r="C18" s="10" cm="1">
        <f t="array" ref="C18">SUM(IF(T23:T1048576="3.5",1,0))-SUM(IF((Q23:Q1048576=FALSE)*(Q23:Q1048576&lt;&gt;""),1,0))</f>
        <v>0</v>
      </c>
      <c r="D18" s="3"/>
      <c r="E18" s="3"/>
      <c r="T18"/>
    </row>
    <row r="19" spans="1:35" x14ac:dyDescent="0.2">
      <c r="T19"/>
    </row>
    <row r="20" spans="1:35" ht="17" thickBot="1" x14ac:dyDescent="0.25">
      <c r="T20"/>
    </row>
    <row r="21" spans="1:35" ht="20" thickBot="1" x14ac:dyDescent="0.3">
      <c r="A21" s="92" t="s">
        <v>10</v>
      </c>
      <c r="B21" s="93"/>
      <c r="C21" s="93"/>
      <c r="D21" s="93"/>
      <c r="E21" s="93"/>
      <c r="F21" s="93"/>
      <c r="G21" s="93"/>
      <c r="H21" s="93"/>
      <c r="I21" s="93"/>
      <c r="J21" s="93"/>
      <c r="K21" s="93"/>
      <c r="L21" s="93"/>
      <c r="M21" s="93"/>
      <c r="N21" s="93"/>
      <c r="O21" s="93"/>
      <c r="P21" s="93"/>
      <c r="Q21" s="93"/>
      <c r="R21" s="93"/>
      <c r="S21" s="93"/>
      <c r="T21" s="93"/>
      <c r="U21" s="93"/>
      <c r="V21" s="93"/>
      <c r="W21" s="93"/>
      <c r="X21" s="93"/>
      <c r="Y21" s="93"/>
      <c r="Z21" s="93"/>
      <c r="AA21" s="93"/>
      <c r="AB21" s="93"/>
      <c r="AC21" s="93"/>
      <c r="AD21" s="93"/>
      <c r="AE21" s="93"/>
      <c r="AF21" s="93"/>
      <c r="AG21" s="93"/>
      <c r="AH21" s="93"/>
      <c r="AI21" s="94"/>
    </row>
    <row r="22" spans="1:35" x14ac:dyDescent="0.2">
      <c r="A22" s="1" t="s">
        <v>57</v>
      </c>
      <c r="B22" s="1" t="s">
        <v>18</v>
      </c>
      <c r="C22" s="1" t="s">
        <v>59</v>
      </c>
      <c r="D22" s="1" t="s">
        <v>58</v>
      </c>
      <c r="E22" s="1" t="s">
        <v>60</v>
      </c>
      <c r="F22" s="1" t="s">
        <v>61</v>
      </c>
      <c r="G22" s="1" t="s">
        <v>62</v>
      </c>
      <c r="H22" s="1" t="s">
        <v>63</v>
      </c>
      <c r="I22" s="1" t="s">
        <v>64</v>
      </c>
      <c r="J22" s="1" t="s">
        <v>92</v>
      </c>
      <c r="K22" s="1" t="s">
        <v>65</v>
      </c>
      <c r="L22" s="1" t="s">
        <v>66</v>
      </c>
      <c r="M22" s="1" t="s">
        <v>67</v>
      </c>
      <c r="N22" s="1" t="s">
        <v>68</v>
      </c>
      <c r="O22" s="1" t="s">
        <v>69</v>
      </c>
      <c r="P22" s="1" t="s">
        <v>70</v>
      </c>
      <c r="Q22" s="1" t="s">
        <v>71</v>
      </c>
      <c r="R22" s="1" t="s">
        <v>72</v>
      </c>
      <c r="S22" s="1" t="s">
        <v>73</v>
      </c>
      <c r="T22" s="1" t="s">
        <v>74</v>
      </c>
      <c r="U22" s="33" t="s">
        <v>75</v>
      </c>
      <c r="V22" s="33" t="s">
        <v>76</v>
      </c>
      <c r="W22" s="33" t="s">
        <v>77</v>
      </c>
      <c r="X22" s="33" t="s">
        <v>78</v>
      </c>
      <c r="Y22" s="33" t="s">
        <v>79</v>
      </c>
      <c r="Z22" s="33" t="s">
        <v>80</v>
      </c>
      <c r="AA22" s="73" t="s">
        <v>81</v>
      </c>
      <c r="AB22" s="33" t="s">
        <v>82</v>
      </c>
      <c r="AC22" s="33" t="s">
        <v>83</v>
      </c>
      <c r="AD22" s="33" t="s">
        <v>84</v>
      </c>
      <c r="AE22" s="33" t="s">
        <v>85</v>
      </c>
      <c r="AF22" s="33" t="s">
        <v>86</v>
      </c>
      <c r="AG22" s="33" t="s">
        <v>87</v>
      </c>
      <c r="AH22" s="74" t="s">
        <v>107</v>
      </c>
      <c r="AI22" s="1" t="s">
        <v>108</v>
      </c>
    </row>
  </sheetData>
  <mergeCells count="10">
    <mergeCell ref="A21:AI21"/>
    <mergeCell ref="G1:L2"/>
    <mergeCell ref="A17:A18"/>
    <mergeCell ref="A1:C1"/>
    <mergeCell ref="A7:A8"/>
    <mergeCell ref="A9:A10"/>
    <mergeCell ref="A11:A12"/>
    <mergeCell ref="A13:A14"/>
    <mergeCell ref="A15:A16"/>
    <mergeCell ref="A5:E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FFA11-F18A-494F-8122-FAB7AF17CD70}">
  <dimension ref="A1:T25"/>
  <sheetViews>
    <sheetView zoomScale="80" zoomScaleNormal="80" workbookViewId="0">
      <selection sqref="A1:C1"/>
    </sheetView>
  </sheetViews>
  <sheetFormatPr baseColWidth="10" defaultRowHeight="16" x14ac:dyDescent="0.2"/>
  <cols>
    <col min="1" max="1" width="96.5" bestFit="1" customWidth="1"/>
    <col min="2" max="2" width="24.1640625" bestFit="1" customWidth="1"/>
    <col min="3" max="3" width="15.33203125" bestFit="1" customWidth="1"/>
  </cols>
  <sheetData>
    <row r="1" spans="1:15" ht="19" customHeight="1" x14ac:dyDescent="0.25">
      <c r="A1" s="113" t="s">
        <v>8</v>
      </c>
      <c r="B1" s="114"/>
      <c r="C1" s="115"/>
      <c r="D1" s="17" t="s">
        <v>3</v>
      </c>
      <c r="E1" s="18" t="s">
        <v>6</v>
      </c>
      <c r="G1" s="118" t="s">
        <v>117</v>
      </c>
      <c r="H1" s="118"/>
      <c r="I1" s="118"/>
      <c r="J1" s="118"/>
      <c r="K1" s="118"/>
      <c r="L1" s="118"/>
      <c r="M1" s="118"/>
      <c r="N1" s="118"/>
      <c r="O1" s="118"/>
    </row>
    <row r="2" spans="1:15" ht="17" thickBot="1" x14ac:dyDescent="0.25">
      <c r="A2" s="35" t="s">
        <v>39</v>
      </c>
      <c r="B2" s="12" t="s">
        <v>5</v>
      </c>
      <c r="C2" s="36">
        <f>C7</f>
        <v>0</v>
      </c>
      <c r="D2" s="20">
        <v>80</v>
      </c>
      <c r="E2" s="21" t="str">
        <f>IF(C2&gt;=D2,"Igen","Nem")</f>
        <v>Nem</v>
      </c>
      <c r="G2" s="118"/>
      <c r="H2" s="118"/>
      <c r="I2" s="118"/>
      <c r="J2" s="118"/>
      <c r="K2" s="118"/>
      <c r="L2" s="118"/>
      <c r="M2" s="118"/>
      <c r="N2" s="118"/>
      <c r="O2" s="118"/>
    </row>
    <row r="4" spans="1:15" ht="17" thickBot="1" x14ac:dyDescent="0.25"/>
    <row r="5" spans="1:15" ht="20" thickBot="1" x14ac:dyDescent="0.3">
      <c r="A5" s="26" t="s">
        <v>9</v>
      </c>
      <c r="B5" s="27"/>
      <c r="C5" s="27"/>
      <c r="D5" s="27"/>
      <c r="E5" s="28"/>
    </row>
    <row r="6" spans="1:15" x14ac:dyDescent="0.2">
      <c r="A6" s="1" t="s">
        <v>0</v>
      </c>
      <c r="B6" s="14" t="s">
        <v>1</v>
      </c>
      <c r="C6" s="1" t="s">
        <v>2</v>
      </c>
      <c r="D6" s="1" t="s">
        <v>3</v>
      </c>
      <c r="E6" s="1" t="s">
        <v>30</v>
      </c>
    </row>
    <row r="7" spans="1:15" x14ac:dyDescent="0.2">
      <c r="A7" s="120" t="s">
        <v>29</v>
      </c>
      <c r="B7" s="67" t="s">
        <v>31</v>
      </c>
      <c r="C7" s="29">
        <f>SUM(C10,C13,C19)</f>
        <v>0</v>
      </c>
      <c r="D7" s="3">
        <v>80</v>
      </c>
      <c r="E7" s="3" t="str">
        <f>IF(C7&gt;=D7,"Igen","Nem")</f>
        <v>Nem</v>
      </c>
    </row>
    <row r="8" spans="1:15" x14ac:dyDescent="0.2">
      <c r="A8" s="120"/>
      <c r="B8" s="67" t="s">
        <v>32</v>
      </c>
      <c r="C8" s="29">
        <f>C11+C14+C20</f>
        <v>0</v>
      </c>
      <c r="D8" s="3"/>
      <c r="E8" s="3"/>
    </row>
    <row r="9" spans="1:15" x14ac:dyDescent="0.2">
      <c r="A9" s="120"/>
      <c r="B9" s="67" t="s">
        <v>33</v>
      </c>
      <c r="C9" s="29">
        <f>C12+C15+C21</f>
        <v>0</v>
      </c>
      <c r="D9" s="3"/>
      <c r="E9" s="3"/>
      <c r="G9" s="1"/>
    </row>
    <row r="10" spans="1:15" x14ac:dyDescent="0.2">
      <c r="A10" s="84" t="s">
        <v>34</v>
      </c>
      <c r="B10" s="68" t="s">
        <v>35</v>
      </c>
      <c r="C10" s="30">
        <f>SUM('1_szakkonyv_monog'!W13:W1048576,'2_folyoirat'!Z21:Z1048576,'3_tovabbi'!X23:X1048576)</f>
        <v>0</v>
      </c>
      <c r="D10" s="3"/>
      <c r="E10" s="3"/>
    </row>
    <row r="11" spans="1:15" x14ac:dyDescent="0.2">
      <c r="A11" s="84"/>
      <c r="B11" s="69" t="s">
        <v>32</v>
      </c>
      <c r="C11" s="30">
        <f>SUM('1_szakkonyv_monog'!AD12:AD1048575,'2_folyoirat'!AG20:AG1048565,'3_tovabbi'!AE22:AE1048567)</f>
        <v>0</v>
      </c>
      <c r="D11" s="3"/>
      <c r="E11" s="3"/>
    </row>
    <row r="12" spans="1:15" x14ac:dyDescent="0.2">
      <c r="A12" s="84"/>
      <c r="B12" s="68" t="s">
        <v>33</v>
      </c>
      <c r="C12" s="30">
        <f>SUMIF('1_szakkonyv_monog'!P13:P1048576,"IGAZ",'1_szakkonyv_monog'!AD13:AD1048576)+SUMIF('2_folyoirat'!T21:T1048576, "IGAZ",'2_folyoirat'!AG21:AG1048576)+SUMIF('3_tovabbi'!Q23:Q1048576, "IGAZ",'3_tovabbi'!AE23:AE1048576)</f>
        <v>0</v>
      </c>
      <c r="D12" s="3"/>
      <c r="E12" s="3"/>
    </row>
    <row r="13" spans="1:15" x14ac:dyDescent="0.2">
      <c r="A13" s="84" t="s">
        <v>36</v>
      </c>
      <c r="B13" s="68" t="s">
        <v>35</v>
      </c>
      <c r="C13" s="30">
        <f>SUM('1_szakkonyv_monog'!X13:X1048576,'2_folyoirat'!AA21:AA1048576,'3_tovabbi'!Y23:Y1048576)</f>
        <v>0</v>
      </c>
      <c r="D13" s="3"/>
      <c r="E13" s="3"/>
      <c r="G13" s="30"/>
    </row>
    <row r="14" spans="1:15" x14ac:dyDescent="0.2">
      <c r="A14" s="84"/>
      <c r="B14" s="69" t="s">
        <v>32</v>
      </c>
      <c r="C14" s="30">
        <f>SUM('1_szakkonyv_monog'!AE13:AE1048576,'2_folyoirat'!AH21:AH1048576,'3_tovabbi'!AF23:AF1048576)</f>
        <v>0</v>
      </c>
      <c r="D14" s="3"/>
      <c r="E14" s="3"/>
    </row>
    <row r="15" spans="1:15" x14ac:dyDescent="0.2">
      <c r="A15" s="84"/>
      <c r="B15" s="68" t="s">
        <v>33</v>
      </c>
      <c r="C15" s="30">
        <f>SUMIF('1_szakkonyv_monog'!P13:P1048576,"IGAZ",'1_szakkonyv_monog'!X13:X1048576)+SUMIF('2_folyoirat'!T21:T1048576, "IGAZ",'2_folyoirat'!AA21:AA1048576)+SUMIF('3_tovabbi'!Q23:Q1048576, "IGAZ",'3_tovabbi'!Y23:Y1048576)</f>
        <v>0</v>
      </c>
      <c r="D15" s="3"/>
      <c r="E15" s="3"/>
    </row>
    <row r="16" spans="1:15" x14ac:dyDescent="0.2">
      <c r="A16" s="124" t="s">
        <v>37</v>
      </c>
      <c r="B16" s="70" t="s">
        <v>35</v>
      </c>
      <c r="C16" s="31">
        <f>SUM(C10,C13)</f>
        <v>0</v>
      </c>
      <c r="D16" s="32">
        <v>40</v>
      </c>
      <c r="E16" s="3" t="str">
        <f>IF(C16&gt;=D16,"Igen","Nem")</f>
        <v>Nem</v>
      </c>
    </row>
    <row r="17" spans="1:20" x14ac:dyDescent="0.2">
      <c r="A17" s="124"/>
      <c r="B17" s="70" t="s">
        <v>32</v>
      </c>
      <c r="C17" s="31">
        <f>SUM(C12,C14)</f>
        <v>0</v>
      </c>
      <c r="D17" s="32"/>
      <c r="E17" s="32"/>
    </row>
    <row r="18" spans="1:20" x14ac:dyDescent="0.2">
      <c r="A18" s="124"/>
      <c r="B18" s="71" t="s">
        <v>33</v>
      </c>
      <c r="C18" s="31">
        <f>C12+C15</f>
        <v>0</v>
      </c>
      <c r="D18" s="32"/>
      <c r="E18" s="32"/>
    </row>
    <row r="19" spans="1:20" x14ac:dyDescent="0.2">
      <c r="A19" s="84" t="s">
        <v>38</v>
      </c>
      <c r="B19" s="68" t="s">
        <v>35</v>
      </c>
      <c r="C19" s="30">
        <f>SUM('1_szakkonyv_monog'!X13:X1048576,'2_folyoirat'!AB21:AB1048576,'3_tovabbi'!Z23:Z1048576)</f>
        <v>0</v>
      </c>
      <c r="D19" s="3"/>
      <c r="E19" s="3"/>
    </row>
    <row r="20" spans="1:20" x14ac:dyDescent="0.2">
      <c r="A20" s="84"/>
      <c r="B20" s="69" t="s">
        <v>32</v>
      </c>
      <c r="C20" s="30">
        <f>SUM('1_szakkonyv_monog'!AF12:AF1048575,'2_folyoirat'!AI20:AI1048565,'3_tovabbi'!AG22:AG1048567)</f>
        <v>0</v>
      </c>
      <c r="D20" s="3"/>
      <c r="E20" s="3"/>
    </row>
    <row r="21" spans="1:20" x14ac:dyDescent="0.2">
      <c r="A21" s="84"/>
      <c r="B21" s="68" t="s">
        <v>33</v>
      </c>
      <c r="C21" s="30">
        <f>SUMIF('1_szakkonyv_monog'!P13:P1048576,"IGAZ",'1_szakkonyv_monog'!Y13:Y1048576)+SUMIF('2_folyoirat'!T21:T1048576, "IGAZ",'2_folyoirat'!AB21:AB1048576)+SUMIF('3_tovabbi'!Q23:Q1048576, "IGAZ",'3_tovabbi'!Z23:Z1048576)</f>
        <v>0</v>
      </c>
      <c r="D21" s="3"/>
      <c r="E21" s="3"/>
    </row>
    <row r="23" spans="1:20" ht="17" thickBot="1" x14ac:dyDescent="0.25"/>
    <row r="24" spans="1:20" ht="20" thickBot="1" x14ac:dyDescent="0.3">
      <c r="A24" s="121" t="s">
        <v>56</v>
      </c>
      <c r="B24" s="122"/>
      <c r="C24" s="122"/>
      <c r="D24" s="122"/>
      <c r="E24" s="122"/>
      <c r="F24" s="122"/>
      <c r="G24" s="122"/>
      <c r="H24" s="122"/>
      <c r="I24" s="122"/>
      <c r="J24" s="122"/>
      <c r="K24" s="122"/>
      <c r="L24" s="122"/>
      <c r="M24" s="122"/>
      <c r="N24" s="122"/>
      <c r="O24" s="122"/>
      <c r="P24" s="122"/>
      <c r="Q24" s="122"/>
      <c r="R24" s="122"/>
      <c r="S24" s="123"/>
      <c r="T24" s="34"/>
    </row>
    <row r="25" spans="1:20" x14ac:dyDescent="0.2">
      <c r="A25" s="72" t="s">
        <v>57</v>
      </c>
      <c r="B25" s="72" t="s">
        <v>93</v>
      </c>
      <c r="C25" s="72" t="s">
        <v>106</v>
      </c>
      <c r="D25" s="72" t="s">
        <v>18</v>
      </c>
      <c r="E25" s="72" t="s">
        <v>59</v>
      </c>
      <c r="F25" s="72" t="s">
        <v>94</v>
      </c>
      <c r="G25" s="72" t="s">
        <v>95</v>
      </c>
      <c r="H25" s="72" t="s">
        <v>96</v>
      </c>
      <c r="I25" s="72" t="s">
        <v>69</v>
      </c>
      <c r="J25" s="72" t="s">
        <v>97</v>
      </c>
      <c r="K25" s="72" t="s">
        <v>98</v>
      </c>
      <c r="L25" s="72" t="s">
        <v>99</v>
      </c>
      <c r="M25" s="72" t="s">
        <v>58</v>
      </c>
      <c r="N25" s="72" t="s">
        <v>100</v>
      </c>
      <c r="O25" s="72" t="s">
        <v>101</v>
      </c>
      <c r="P25" s="14" t="s">
        <v>105</v>
      </c>
      <c r="Q25" s="14" t="s">
        <v>102</v>
      </c>
      <c r="R25" s="14" t="s">
        <v>103</v>
      </c>
      <c r="S25" s="14" t="s">
        <v>104</v>
      </c>
      <c r="T25" s="24"/>
    </row>
  </sheetData>
  <mergeCells count="8">
    <mergeCell ref="G1:O2"/>
    <mergeCell ref="A24:S24"/>
    <mergeCell ref="A19:A21"/>
    <mergeCell ref="A1:C1"/>
    <mergeCell ref="A7:A9"/>
    <mergeCell ref="A10:A12"/>
    <mergeCell ref="A13:A15"/>
    <mergeCell ref="A16:A18"/>
  </mergeCells>
  <conditionalFormatting sqref="E2">
    <cfRule type="expression" dxfId="5" priority="5">
      <formula>E2="Igen"</formula>
    </cfRule>
    <cfRule type="expression" dxfId="4" priority="6">
      <formula>E2="Nem"</formula>
    </cfRule>
  </conditionalFormatting>
  <conditionalFormatting sqref="E7">
    <cfRule type="expression" dxfId="3" priority="1">
      <formula>E7="Igen"</formula>
    </cfRule>
    <cfRule type="expression" dxfId="2" priority="2">
      <formula>E7="Nem"</formula>
    </cfRule>
  </conditionalFormatting>
  <conditionalFormatting sqref="E16">
    <cfRule type="expression" dxfId="1" priority="3">
      <formula>E16="Igen"</formula>
    </cfRule>
    <cfRule type="expression" dxfId="0" priority="4">
      <formula>E16="Nem"</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Munkalapok</vt:lpstr>
      </vt:variant>
      <vt:variant>
        <vt:i4>6</vt:i4>
      </vt:variant>
    </vt:vector>
  </HeadingPairs>
  <TitlesOfParts>
    <vt:vector size="6" baseType="lpstr">
      <vt:lpstr>INFO</vt:lpstr>
      <vt:lpstr>OSSZEGZES</vt:lpstr>
      <vt:lpstr>1_szakkonyv_monog</vt:lpstr>
      <vt:lpstr>2_folyoirat</vt:lpstr>
      <vt:lpstr>3_tovabbi</vt:lpstr>
      <vt:lpstr>4_hivatkozasok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Pálma Mogyorósi</dc:creator>
  <cp:lastModifiedBy>Pálma Mogyorósi</cp:lastModifiedBy>
  <dcterms:created xsi:type="dcterms:W3CDTF">2025-10-01T07:25:54Z</dcterms:created>
  <dcterms:modified xsi:type="dcterms:W3CDTF">2026-04-14T14:41:13Z</dcterms:modified>
</cp:coreProperties>
</file>